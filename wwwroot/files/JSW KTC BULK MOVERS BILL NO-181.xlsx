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defaultThemeVersion="124226"/>
  <mc:AlternateContent xmlns:mc="http://schemas.openxmlformats.org/markup-compatibility/2006">
    <mc:Choice Requires="x15">
      <x15ac:absPath xmlns:x15ac="http://schemas.microsoft.com/office/spreadsheetml/2010/11/ac" url="C:\Users\Dell\Downloads\"/>
    </mc:Choice>
  </mc:AlternateContent>
  <xr:revisionPtr revIDLastSave="0" documentId="13_ncr:1_{62D8B828-3447-44F0-8188-E0AC0866AF98}" xr6:coauthVersionLast="47" xr6:coauthVersionMax="47" xr10:uidLastSave="{00000000-0000-0000-0000-000000000000}"/>
  <bookViews>
    <workbookView xWindow="-120" yWindow="-120" windowWidth="20730" windowHeight="11040" tabRatio="604" xr2:uid="{00000000-000D-0000-FFFF-FFFF00000000}"/>
  </bookViews>
  <sheets>
    <sheet name="bill5" sheetId="3" r:id="rId1"/>
  </sheets>
  <definedNames>
    <definedName name="_xlnm._FilterDatabase" localSheetId="0" hidden="1">bill5!#REF!</definedName>
    <definedName name="_xlnm.Print_Area" localSheetId="0">bill5!$A$2:$M$43</definedName>
  </definedNames>
  <calcPr calcId="181029"/>
</workbook>
</file>

<file path=xl/calcChain.xml><?xml version="1.0" encoding="utf-8"?>
<calcChain xmlns="http://schemas.openxmlformats.org/spreadsheetml/2006/main">
  <c r="L29" i="3" l="1"/>
  <c r="M31" i="3"/>
  <c r="M32" i="3" s="1"/>
  <c r="M34" i="3" s="1"/>
  <c r="K31" i="3"/>
  <c r="L31" i="3" l="1"/>
</calcChain>
</file>

<file path=xl/sharedStrings.xml><?xml version="1.0" encoding="utf-8"?>
<sst xmlns="http://schemas.openxmlformats.org/spreadsheetml/2006/main" count="50" uniqueCount="49">
  <si>
    <t>CIN</t>
  </si>
  <si>
    <t xml:space="preserve">TAX INVOICE </t>
  </si>
  <si>
    <t>NEAR RAZA MASJID,WARD NO 2, GADCHANDUR, GADCHANDUR,442908.</t>
  </si>
  <si>
    <t>PAN: ADRPA8327Q     GSTN :27ADRPA8327Q1ZT       STATE :MAHARASTRA        STATE CODE 27</t>
  </si>
  <si>
    <t>TRANSPORTATION FREIGHT BILL</t>
  </si>
  <si>
    <t>ORIGINAL FOR RECEIPEINT</t>
  </si>
  <si>
    <t xml:space="preserve">M/s JSW CEMENTS LTD.     </t>
  </si>
  <si>
    <t xml:space="preserve">Generation Date:- </t>
  </si>
  <si>
    <t xml:space="preserve">VIJAYANAGAR WORKS </t>
  </si>
  <si>
    <t xml:space="preserve">Vendor Code:-  </t>
  </si>
  <si>
    <t xml:space="preserve">PO-VIDYANAGAR,     </t>
  </si>
  <si>
    <t xml:space="preserve">Vendor Name:- </t>
  </si>
  <si>
    <t>KTC BULK MOVERS</t>
  </si>
  <si>
    <t xml:space="preserve">TORANAGALLU  </t>
  </si>
  <si>
    <t>Bill No:-</t>
  </si>
  <si>
    <t xml:space="preserve">GSTN:- 29AABCJ6731B1ZS </t>
  </si>
  <si>
    <t>EPOD Status:-</t>
  </si>
  <si>
    <t xml:space="preserve">Bill Date:- </t>
  </si>
  <si>
    <t>SAC Code:-</t>
  </si>
  <si>
    <t>SL.NO</t>
  </si>
  <si>
    <t>Supply inv Date</t>
  </si>
  <si>
    <t>Consignee Name</t>
  </si>
  <si>
    <t>Destination</t>
  </si>
  <si>
    <t>Supply inv.No</t>
  </si>
  <si>
    <t>Vehicle Reg.No</t>
  </si>
  <si>
    <t>Shipping Type</t>
  </si>
  <si>
    <t>Delivery No</t>
  </si>
  <si>
    <t>Desc</t>
  </si>
  <si>
    <t>Qty</t>
  </si>
  <si>
    <t>Rate/Mt</t>
  </si>
  <si>
    <t>Total Value</t>
  </si>
  <si>
    <t>Total</t>
  </si>
  <si>
    <t>IGST12%</t>
  </si>
  <si>
    <t>Grand Total</t>
  </si>
  <si>
    <t xml:space="preserve">    </t>
  </si>
  <si>
    <r>
      <rPr>
        <b/>
        <u/>
        <sz val="48"/>
        <color theme="1"/>
        <rFont val="Calibri"/>
        <family val="2"/>
        <scheme val="minor"/>
      </rPr>
      <t>Declaration :</t>
    </r>
    <r>
      <rPr>
        <b/>
        <sz val="48"/>
        <color theme="1"/>
        <rFont val="Calibri"/>
        <family val="2"/>
        <scheme val="minor"/>
      </rPr>
      <t xml:space="preserve">
1) I/we have taken registration under the CGST Act,2017 and have  exercised the option to pay tax on services of GTA in relation to transport of goods  supplied by us during the Financial Year 2023-24 under the forward charge.
2) i/We hereby declare that though our aggregate turnover in any preceding financial year from 2017-18 onwards is more than the aggregate turnover notified under sub-rule (4) of rule 48,  we are not required to prepare an invoice in terms of the provisions of the said sub-rule.</t>
    </r>
  </si>
  <si>
    <t xml:space="preserve">LR NO </t>
  </si>
  <si>
    <t>16W</t>
  </si>
  <si>
    <t>GGBS</t>
  </si>
  <si>
    <t xml:space="preserve"> N</t>
  </si>
  <si>
    <t>MIYAPUR</t>
  </si>
  <si>
    <t xml:space="preserve"> 29-01-2025   </t>
  </si>
  <si>
    <t>KTC/24-25/J-181</t>
  </si>
  <si>
    <t>VESSELLA CONCRETE</t>
  </si>
  <si>
    <t>3020756290</t>
  </si>
  <si>
    <t>TS01UC2090</t>
  </si>
  <si>
    <t>4021156322</t>
  </si>
  <si>
    <t xml:space="preserve">GST IN WORDS  :- Rupees Five Thousand Nine Hundred Eighty-four And Sixty-six Paise Only
</t>
  </si>
  <si>
    <t xml:space="preserve"> AMOUNT IN WORDS:-  Rupees Fifty-five Thousand Eight Hundred Fifty-six And Eighty-three Paise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</si>
</sst>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1">
    <font>
      <sz val="11"/>
      <color theme="1"/>
      <name val="Calibri"/>
      <charset val="134"/>
      <scheme val="minor"/>
    </font>
    <font>
      <sz val="65"/>
      <color theme="1"/>
      <name val="Calibri"/>
      <family val="2"/>
      <scheme val="minor"/>
    </font>
    <font>
      <sz val="72"/>
      <color theme="1"/>
      <name val="Calibri"/>
      <family val="2"/>
      <scheme val="minor"/>
    </font>
    <font>
      <sz val="45"/>
      <color theme="1"/>
      <name val="Calibri"/>
      <family val="2"/>
      <scheme val="minor"/>
    </font>
    <font>
      <sz val="70"/>
      <color theme="1"/>
      <name val="Calibri"/>
      <family val="2"/>
      <scheme val="minor"/>
    </font>
    <font>
      <sz val="36"/>
      <color theme="1"/>
      <name val="Calibri"/>
      <family val="2"/>
      <scheme val="minor"/>
    </font>
    <font>
      <sz val="60"/>
      <color theme="1"/>
      <name val="Calibri"/>
      <family val="2"/>
      <scheme val="minor"/>
    </font>
    <font>
      <b/>
      <sz val="140"/>
      <color rgb="FF00B050"/>
      <name val="Calibri"/>
      <family val="2"/>
      <scheme val="minor"/>
    </font>
    <font>
      <b/>
      <sz val="70"/>
      <color rgb="FF00B050"/>
      <name val="Calibri"/>
      <family val="2"/>
      <scheme val="minor"/>
    </font>
    <font>
      <sz val="80"/>
      <color rgb="FF00B050"/>
      <name val="Calibri"/>
      <family val="2"/>
      <scheme val="minor"/>
    </font>
    <font>
      <sz val="11"/>
      <color rgb="FF00B050"/>
      <name val="Calibri"/>
      <family val="2"/>
      <scheme val="minor"/>
    </font>
    <font>
      <b/>
      <sz val="65"/>
      <color theme="1"/>
      <name val="Calibri"/>
      <family val="2"/>
      <scheme val="minor"/>
    </font>
    <font>
      <b/>
      <sz val="48"/>
      <color theme="1"/>
      <name val="Calibri"/>
      <family val="2"/>
      <scheme val="minor"/>
    </font>
    <font>
      <b/>
      <u/>
      <sz val="48"/>
      <color theme="1"/>
      <name val="Calibri"/>
      <family val="2"/>
      <scheme val="minor"/>
    </font>
    <font>
      <b/>
      <sz val="72"/>
      <color theme="1"/>
      <name val="Calibri"/>
      <family val="2"/>
      <scheme val="minor"/>
    </font>
    <font>
      <b/>
      <sz val="11"/>
      <color theme="1"/>
      <name val="Calibri"/>
      <family val="2"/>
      <scheme val="minor"/>
    </font>
    <font>
      <b/>
      <sz val="80"/>
      <color rgb="FF00B050"/>
      <name val="Calibri"/>
      <family val="2"/>
      <scheme val="minor"/>
    </font>
    <font>
      <b/>
      <sz val="70"/>
      <color theme="1"/>
      <name val="Calibri"/>
      <family val="2"/>
      <scheme val="minor"/>
    </font>
    <font>
      <b/>
      <sz val="45"/>
      <color theme="1"/>
      <name val="Calibri"/>
      <family val="2"/>
      <scheme val="minor"/>
    </font>
    <font>
      <b/>
      <sz val="70"/>
      <color rgb="FF000000"/>
      <name val="Calibri"/>
      <family val="2"/>
      <scheme val="minor"/>
    </font>
    <font>
      <b/>
      <sz val="70"/>
      <name val="Calibri"/>
      <family val="2"/>
      <scheme val="minor"/>
    </font>
  </fonts>
  <fills count="3">
    <fill>
      <patternFill patternType="none"/>
    </fill>
    <fill>
      <patternFill patternType="gray125"/>
    </fill>
    <fill>
      <patternFill patternType="solid">
        <fgColor theme="0"/>
        <bgColor indexed="64"/>
      </patternFill>
    </fill>
  </fills>
  <borders count="1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medium">
        <color auto="1"/>
      </right>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bottom style="thin">
        <color auto="1"/>
      </bottom>
      <diagonal/>
    </border>
  </borders>
  <cellStyleXfs count="1">
    <xf numFmtId="0" fontId="0" fillId="0" borderId="0"/>
  </cellStyleXfs>
  <cellXfs count="78">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horizontal="left" vertical="top"/>
    </xf>
    <xf numFmtId="0" fontId="5" fillId="0" borderId="0" xfId="0" applyFont="1"/>
    <xf numFmtId="0" fontId="6" fillId="0" borderId="0" xfId="0" applyFont="1"/>
    <xf numFmtId="0" fontId="4" fillId="0" borderId="0" xfId="0" applyFont="1"/>
    <xf numFmtId="0" fontId="0" fillId="0" borderId="0" xfId="0" applyAlignment="1">
      <alignment wrapText="1"/>
    </xf>
    <xf numFmtId="0" fontId="10" fillId="0" borderId="0" xfId="0" applyFont="1"/>
    <xf numFmtId="0" fontId="11" fillId="0" borderId="7" xfId="0" applyFont="1" applyBorder="1" applyAlignment="1">
      <alignment horizontal="center" vertical="center" wrapText="1"/>
    </xf>
    <xf numFmtId="0" fontId="14" fillId="0" borderId="0" xfId="0" applyFont="1"/>
    <xf numFmtId="0" fontId="1" fillId="0" borderId="0" xfId="0" applyFont="1" applyAlignment="1">
      <alignment horizontal="center"/>
    </xf>
    <xf numFmtId="0" fontId="15" fillId="0" borderId="0" xfId="0" applyFont="1"/>
    <xf numFmtId="0" fontId="15" fillId="0" borderId="0" xfId="0" applyFont="1" applyAlignment="1">
      <alignment wrapText="1"/>
    </xf>
    <xf numFmtId="0" fontId="17" fillId="0" borderId="1" xfId="0" applyFont="1" applyBorder="1" applyAlignment="1">
      <alignment horizontal="center"/>
    </xf>
    <xf numFmtId="0" fontId="17" fillId="0" borderId="2" xfId="0" applyFont="1" applyBorder="1" applyAlignment="1">
      <alignment horizontal="center"/>
    </xf>
    <xf numFmtId="0" fontId="17" fillId="0" borderId="2" xfId="0" applyFont="1" applyBorder="1" applyAlignment="1">
      <alignment horizontal="center" wrapText="1"/>
    </xf>
    <xf numFmtId="0" fontId="17" fillId="0" borderId="8" xfId="0" applyFont="1" applyBorder="1" applyAlignment="1">
      <alignment horizontal="center"/>
    </xf>
    <xf numFmtId="0" fontId="17" fillId="0" borderId="4" xfId="0" applyFont="1" applyBorder="1" applyAlignment="1">
      <alignment horizontal="left" vertical="top"/>
    </xf>
    <xf numFmtId="0" fontId="17" fillId="0" borderId="5" xfId="0" applyFont="1" applyBorder="1" applyAlignment="1">
      <alignment horizontal="left" vertical="top"/>
    </xf>
    <xf numFmtId="0" fontId="17" fillId="0" borderId="5" xfId="0" applyFont="1" applyBorder="1" applyAlignment="1">
      <alignment horizontal="left" vertical="top" wrapText="1"/>
    </xf>
    <xf numFmtId="0" fontId="17" fillId="0" borderId="6" xfId="0" applyFont="1" applyBorder="1" applyAlignment="1">
      <alignment horizontal="left" vertical="top"/>
    </xf>
    <xf numFmtId="0" fontId="17" fillId="0" borderId="0" xfId="0" applyFont="1" applyAlignment="1">
      <alignment horizontal="left" vertical="top"/>
    </xf>
    <xf numFmtId="0" fontId="17" fillId="0" borderId="0" xfId="0" applyFont="1" applyAlignment="1">
      <alignment horizontal="left" vertical="top" wrapText="1"/>
    </xf>
    <xf numFmtId="0" fontId="17" fillId="0" borderId="9" xfId="0" applyFont="1" applyBorder="1" applyAlignment="1">
      <alignment horizontal="left" vertical="top"/>
    </xf>
    <xf numFmtId="0" fontId="18" fillId="0" borderId="6" xfId="0" applyFont="1" applyBorder="1"/>
    <xf numFmtId="0" fontId="18" fillId="0" borderId="0" xfId="0" applyFont="1"/>
    <xf numFmtId="0" fontId="18" fillId="0" borderId="0" xfId="0" applyFont="1" applyAlignment="1">
      <alignment wrapText="1"/>
    </xf>
    <xf numFmtId="15" fontId="17" fillId="0" borderId="9" xfId="0" applyNumberFormat="1" applyFont="1" applyBorder="1" applyAlignment="1">
      <alignment horizontal="left" vertical="top"/>
    </xf>
    <xf numFmtId="0" fontId="17" fillId="0" borderId="0" xfId="0" applyFont="1"/>
    <xf numFmtId="0" fontId="18" fillId="0" borderId="9" xfId="0" applyFont="1" applyBorder="1"/>
    <xf numFmtId="0" fontId="11" fillId="2" borderId="7" xfId="0" applyFont="1" applyFill="1" applyBorder="1" applyAlignment="1">
      <alignment horizontal="center" vertical="center"/>
    </xf>
    <xf numFmtId="14" fontId="11" fillId="0" borderId="7" xfId="0" applyNumberFormat="1" applyFont="1" applyBorder="1" applyAlignment="1">
      <alignment horizontal="right" vertical="top"/>
    </xf>
    <xf numFmtId="0" fontId="11" fillId="0" borderId="7" xfId="0" applyFont="1" applyBorder="1" applyAlignment="1">
      <alignment vertical="top"/>
    </xf>
    <xf numFmtId="164" fontId="11" fillId="0" borderId="7" xfId="0" applyNumberFormat="1" applyFont="1" applyBorder="1" applyAlignment="1">
      <alignment horizontal="right" vertical="top"/>
    </xf>
    <xf numFmtId="4" fontId="11" fillId="0" borderId="7" xfId="0" applyNumberFormat="1" applyFont="1" applyBorder="1" applyAlignment="1">
      <alignment horizontal="right" vertical="top"/>
    </xf>
    <xf numFmtId="0" fontId="11" fillId="0" borderId="7" xfId="0" applyFont="1" applyBorder="1" applyAlignment="1">
      <alignment horizontal="center" vertical="top"/>
    </xf>
    <xf numFmtId="14" fontId="17" fillId="2" borderId="7" xfId="0" applyNumberFormat="1" applyFont="1" applyFill="1" applyBorder="1" applyAlignment="1">
      <alignment horizontal="center" vertical="center"/>
    </xf>
    <xf numFmtId="0" fontId="17" fillId="2" borderId="7" xfId="0" applyFont="1" applyFill="1" applyBorder="1" applyAlignment="1">
      <alignment horizontal="center" vertical="center"/>
    </xf>
    <xf numFmtId="1" fontId="17" fillId="2" borderId="7" xfId="0" applyNumberFormat="1" applyFont="1" applyFill="1" applyBorder="1" applyAlignment="1">
      <alignment horizontal="center" vertical="center"/>
    </xf>
    <xf numFmtId="164" fontId="17" fillId="2" borderId="7" xfId="0" applyNumberFormat="1" applyFont="1" applyFill="1" applyBorder="1" applyAlignment="1">
      <alignment horizontal="center" vertical="center"/>
    </xf>
    <xf numFmtId="4" fontId="19" fillId="0" borderId="14" xfId="0" applyNumberFormat="1" applyFont="1" applyBorder="1" applyAlignment="1">
      <alignment horizontal="center" vertical="center" shrinkToFit="1"/>
    </xf>
    <xf numFmtId="4" fontId="19" fillId="0" borderId="7" xfId="0" applyNumberFormat="1" applyFont="1" applyBorder="1" applyAlignment="1">
      <alignment horizontal="center" vertical="center" shrinkToFit="1"/>
    </xf>
    <xf numFmtId="4" fontId="19" fillId="2" borderId="7" xfId="0" applyNumberFormat="1" applyFont="1" applyFill="1" applyBorder="1" applyAlignment="1">
      <alignment horizontal="center" vertical="center" shrinkToFit="1"/>
    </xf>
    <xf numFmtId="0" fontId="20" fillId="0" borderId="7" xfId="0" applyFont="1" applyBorder="1" applyAlignment="1">
      <alignment horizontal="center" vertical="center" wrapText="1"/>
    </xf>
    <xf numFmtId="0" fontId="11" fillId="2" borderId="7" xfId="0" applyFont="1" applyFill="1" applyBorder="1" applyAlignment="1">
      <alignment vertical="top"/>
    </xf>
    <xf numFmtId="0" fontId="11" fillId="2" borderId="7" xfId="0" applyFont="1" applyFill="1" applyBorder="1" applyAlignment="1">
      <alignment horizontal="center" vertical="top"/>
    </xf>
    <xf numFmtId="4" fontId="11" fillId="2" borderId="7" xfId="0" applyNumberFormat="1" applyFont="1" applyFill="1" applyBorder="1" applyAlignment="1">
      <alignment horizontal="right" vertical="top"/>
    </xf>
    <xf numFmtId="14" fontId="11" fillId="2" borderId="7" xfId="0" applyNumberFormat="1" applyFont="1" applyFill="1" applyBorder="1" applyAlignment="1">
      <alignment horizontal="center" vertical="top"/>
    </xf>
    <xf numFmtId="164" fontId="11" fillId="2" borderId="7" xfId="0" applyNumberFormat="1" applyFont="1" applyFill="1" applyBorder="1" applyAlignment="1">
      <alignment horizontal="center" vertical="top"/>
    </xf>
    <xf numFmtId="14" fontId="17" fillId="2" borderId="1" xfId="0" applyNumberFormat="1" applyFont="1" applyFill="1" applyBorder="1" applyAlignment="1">
      <alignment horizontal="center" vertical="center" wrapText="1"/>
    </xf>
    <xf numFmtId="14" fontId="17" fillId="2" borderId="2" xfId="0" applyNumberFormat="1" applyFont="1" applyFill="1" applyBorder="1" applyAlignment="1">
      <alignment horizontal="center" vertical="center" wrapText="1"/>
    </xf>
    <xf numFmtId="14" fontId="17" fillId="2" borderId="8" xfId="0" applyNumberFormat="1" applyFont="1" applyFill="1" applyBorder="1" applyAlignment="1">
      <alignment horizontal="center" vertical="center" wrapText="1"/>
    </xf>
    <xf numFmtId="0" fontId="17" fillId="0" borderId="7" xfId="0" applyFont="1" applyBorder="1" applyAlignment="1">
      <alignment horizontal="center" vertical="center"/>
    </xf>
    <xf numFmtId="0" fontId="1" fillId="0" borderId="0" xfId="0" applyFont="1" applyAlignment="1">
      <alignment horizontal="center" wrapText="1"/>
    </xf>
    <xf numFmtId="0" fontId="12" fillId="0" borderId="4" xfId="0" applyFont="1" applyBorder="1" applyAlignment="1">
      <alignment horizontal="left" vertical="top" wrapText="1"/>
    </xf>
    <xf numFmtId="0" fontId="12" fillId="0" borderId="5" xfId="0" applyFont="1" applyBorder="1" applyAlignment="1">
      <alignment horizontal="left" vertical="top" wrapText="1"/>
    </xf>
    <xf numFmtId="0" fontId="12" fillId="0" borderId="10" xfId="0" applyFont="1" applyBorder="1" applyAlignment="1">
      <alignment horizontal="left" vertical="top" wrapText="1"/>
    </xf>
    <xf numFmtId="0" fontId="12" fillId="0" borderId="6" xfId="0" applyFont="1" applyBorder="1" applyAlignment="1">
      <alignment horizontal="left" vertical="top" wrapText="1"/>
    </xf>
    <xf numFmtId="0" fontId="12" fillId="0" borderId="0" xfId="0" applyFont="1" applyAlignment="1">
      <alignment horizontal="left" vertical="top" wrapText="1"/>
    </xf>
    <xf numFmtId="0" fontId="12" fillId="0" borderId="9" xfId="0" applyFont="1" applyBorder="1" applyAlignment="1">
      <alignment horizontal="left" vertical="top" wrapText="1"/>
    </xf>
    <xf numFmtId="0" fontId="12" fillId="0" borderId="11" xfId="0" applyFont="1" applyBorder="1" applyAlignment="1">
      <alignment horizontal="left" vertical="top" wrapText="1"/>
    </xf>
    <xf numFmtId="0" fontId="12" fillId="0" borderId="12" xfId="0" applyFont="1" applyBorder="1" applyAlignment="1">
      <alignment horizontal="left" vertical="top" wrapText="1"/>
    </xf>
    <xf numFmtId="0" fontId="12" fillId="0" borderId="13" xfId="0" applyFont="1" applyBorder="1" applyAlignment="1">
      <alignment horizontal="left" vertical="top" wrapText="1"/>
    </xf>
    <xf numFmtId="0" fontId="17" fillId="0" borderId="0" xfId="0" applyFont="1" applyAlignment="1">
      <alignment horizontal="left" vertical="top"/>
    </xf>
    <xf numFmtId="15" fontId="17" fillId="0" borderId="0" xfId="0" applyNumberFormat="1" applyFont="1" applyAlignment="1">
      <alignment horizontal="left" vertical="top"/>
    </xf>
    <xf numFmtId="15" fontId="17" fillId="0" borderId="9" xfId="0" applyNumberFormat="1" applyFont="1" applyBorder="1" applyAlignment="1">
      <alignment horizontal="left" vertical="top"/>
    </xf>
    <xf numFmtId="0" fontId="17" fillId="0" borderId="9" xfId="0" applyFont="1" applyBorder="1" applyAlignment="1">
      <alignment horizontal="left" vertical="top"/>
    </xf>
    <xf numFmtId="0" fontId="17" fillId="0" borderId="1" xfId="0" applyFont="1" applyBorder="1" applyAlignment="1">
      <alignment horizontal="center"/>
    </xf>
    <xf numFmtId="0" fontId="17" fillId="0" borderId="2" xfId="0" applyFont="1" applyBorder="1" applyAlignment="1">
      <alignment horizontal="center"/>
    </xf>
    <xf numFmtId="0" fontId="17" fillId="0" borderId="8" xfId="0" applyFont="1" applyBorder="1" applyAlignment="1">
      <alignment horizontal="center"/>
    </xf>
    <xf numFmtId="0" fontId="18" fillId="0" borderId="3" xfId="0" applyFont="1" applyBorder="1" applyAlignment="1">
      <alignment horizontal="center"/>
    </xf>
    <xf numFmtId="0" fontId="17" fillId="0" borderId="5" xfId="0" applyFont="1" applyBorder="1" applyAlignment="1">
      <alignment horizontal="left" vertical="top"/>
    </xf>
    <xf numFmtId="0" fontId="9" fillId="0" borderId="0" xfId="0" applyFont="1" applyAlignment="1">
      <alignment horizontal="center" vertical="center"/>
    </xf>
    <xf numFmtId="0" fontId="8" fillId="0" borderId="0" xfId="0" applyFont="1" applyAlignment="1">
      <alignment horizontal="center" vertical="center"/>
    </xf>
    <xf numFmtId="0" fontId="7" fillId="0" borderId="0" xfId="0" applyFont="1" applyAlignment="1">
      <alignment horizontal="center" vertical="center"/>
    </xf>
    <xf numFmtId="0" fontId="16"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3:X43"/>
  <sheetViews>
    <sheetView tabSelected="1" view="pageBreakPreview" topLeftCell="D19" zoomScale="25" zoomScaleSheetLayoutView="25" workbookViewId="0">
      <selection activeCell="H29" sqref="H29:I29"/>
    </sheetView>
  </sheetViews>
  <sheetFormatPr defaultColWidth="9" defaultRowHeight="15"/>
  <cols>
    <col min="1" max="1" width="30.140625" customWidth="1"/>
    <col min="2" max="2" width="74.42578125" customWidth="1"/>
    <col min="3" max="3" width="237.140625" style="8" customWidth="1"/>
    <col min="4" max="4" width="109.85546875" customWidth="1"/>
    <col min="5" max="5" width="75.140625" customWidth="1"/>
    <col min="6" max="6" width="75.85546875" customWidth="1"/>
    <col min="7" max="7" width="49.5703125" customWidth="1"/>
    <col min="8" max="8" width="34.85546875" customWidth="1"/>
    <col min="9" max="9" width="74.28515625" customWidth="1"/>
    <col min="10" max="10" width="46" customWidth="1"/>
    <col min="11" max="11" width="68.7109375" bestFit="1" customWidth="1"/>
    <col min="12" max="12" width="52.28515625" customWidth="1"/>
    <col min="13" max="13" width="73.42578125" customWidth="1"/>
    <col min="14" max="14" width="9" hidden="1" customWidth="1"/>
  </cols>
  <sheetData>
    <row r="3" spans="1:13" ht="15" customHeight="1">
      <c r="D3" s="76"/>
      <c r="E3" s="76"/>
      <c r="F3" s="76"/>
    </row>
    <row r="4" spans="1:13" ht="15" customHeight="1">
      <c r="D4" s="76"/>
      <c r="E4" s="76"/>
      <c r="F4" s="76"/>
    </row>
    <row r="5" spans="1:13" ht="15" customHeight="1">
      <c r="D5" s="76"/>
      <c r="E5" s="76"/>
      <c r="F5" s="76"/>
    </row>
    <row r="6" spans="1:13" ht="15" customHeight="1">
      <c r="D6" s="76"/>
      <c r="E6" s="76"/>
      <c r="F6" s="76"/>
      <c r="J6" s="74"/>
      <c r="K6" s="74"/>
      <c r="L6" s="74"/>
      <c r="M6" s="74"/>
    </row>
    <row r="7" spans="1:13">
      <c r="D7" s="76"/>
      <c r="E7" s="76"/>
      <c r="F7" s="76"/>
      <c r="J7" s="9"/>
      <c r="K7" s="9"/>
      <c r="L7" s="9"/>
      <c r="M7" s="9"/>
    </row>
    <row r="8" spans="1:13" ht="18.75" customHeight="1">
      <c r="A8" s="13"/>
      <c r="B8" s="13"/>
      <c r="C8" s="14"/>
      <c r="D8" s="13"/>
      <c r="E8" s="13"/>
      <c r="F8" s="13"/>
      <c r="G8" s="13"/>
      <c r="H8" s="13"/>
      <c r="I8" s="13"/>
      <c r="J8" s="77"/>
      <c r="K8" s="77"/>
      <c r="L8" s="77"/>
      <c r="M8" s="77"/>
    </row>
    <row r="9" spans="1:13" ht="15" customHeight="1">
      <c r="A9" s="13"/>
      <c r="B9" s="13"/>
      <c r="C9" s="14"/>
      <c r="D9" s="75"/>
      <c r="E9" s="75"/>
      <c r="F9" s="75"/>
      <c r="G9" s="13"/>
      <c r="H9" s="13"/>
      <c r="I9" s="13"/>
      <c r="J9" s="77"/>
      <c r="K9" s="77"/>
      <c r="L9" s="77"/>
      <c r="M9" s="77"/>
    </row>
    <row r="10" spans="1:13">
      <c r="A10" s="13"/>
      <c r="B10" s="13"/>
      <c r="C10" s="14"/>
      <c r="D10" s="13"/>
      <c r="E10" s="13"/>
      <c r="F10" s="13"/>
      <c r="G10" s="13"/>
      <c r="H10" s="13"/>
      <c r="I10" s="13"/>
      <c r="J10" s="13"/>
      <c r="K10" s="13"/>
      <c r="L10" s="13"/>
      <c r="M10" s="13"/>
    </row>
    <row r="11" spans="1:13">
      <c r="A11" s="13"/>
      <c r="B11" s="13"/>
      <c r="C11" s="14"/>
      <c r="D11" s="13"/>
      <c r="E11" s="13"/>
      <c r="F11" s="13"/>
      <c r="G11" s="13"/>
      <c r="H11" s="13"/>
      <c r="I11" s="13"/>
      <c r="J11" s="13"/>
      <c r="K11" s="13"/>
      <c r="L11" s="13"/>
      <c r="M11" s="13"/>
    </row>
    <row r="12" spans="1:13">
      <c r="A12" s="13"/>
      <c r="B12" s="13"/>
      <c r="C12" s="14"/>
      <c r="D12" s="13"/>
      <c r="E12" s="13"/>
      <c r="F12" s="13"/>
      <c r="G12" s="13"/>
      <c r="H12" s="13"/>
      <c r="I12" s="13"/>
      <c r="J12" s="13"/>
      <c r="K12" s="13"/>
      <c r="L12" s="13"/>
      <c r="M12" s="13"/>
    </row>
    <row r="13" spans="1:13" s="1" customFormat="1" ht="89.25">
      <c r="A13" s="69" t="s">
        <v>0</v>
      </c>
      <c r="B13" s="70"/>
      <c r="C13" s="70"/>
      <c r="D13" s="70"/>
      <c r="E13" s="70"/>
      <c r="F13" s="70"/>
      <c r="G13" s="70"/>
      <c r="H13" s="70"/>
      <c r="I13" s="70"/>
      <c r="J13" s="70"/>
      <c r="K13" s="70"/>
      <c r="L13" s="70"/>
      <c r="M13" s="71"/>
    </row>
    <row r="14" spans="1:13" s="1" customFormat="1" ht="89.45" customHeight="1">
      <c r="A14" s="69" t="s">
        <v>1</v>
      </c>
      <c r="B14" s="70"/>
      <c r="C14" s="70"/>
      <c r="D14" s="70"/>
      <c r="E14" s="70"/>
      <c r="F14" s="70"/>
      <c r="G14" s="70"/>
      <c r="H14" s="70"/>
      <c r="I14" s="70"/>
      <c r="J14" s="70"/>
      <c r="K14" s="70"/>
      <c r="L14" s="70"/>
      <c r="M14" s="71"/>
    </row>
    <row r="15" spans="1:13" s="1" customFormat="1" ht="89.45" customHeight="1">
      <c r="A15" s="69" t="s">
        <v>2</v>
      </c>
      <c r="B15" s="70"/>
      <c r="C15" s="70"/>
      <c r="D15" s="70"/>
      <c r="E15" s="70"/>
      <c r="F15" s="70"/>
      <c r="G15" s="70"/>
      <c r="H15" s="70"/>
      <c r="I15" s="70"/>
      <c r="J15" s="70"/>
      <c r="K15" s="70"/>
      <c r="L15" s="70"/>
      <c r="M15" s="71"/>
    </row>
    <row r="16" spans="1:13" s="2" customFormat="1" ht="89.45" customHeight="1">
      <c r="A16" s="69" t="s">
        <v>3</v>
      </c>
      <c r="B16" s="70"/>
      <c r="C16" s="70"/>
      <c r="D16" s="70"/>
      <c r="E16" s="70"/>
      <c r="F16" s="70"/>
      <c r="G16" s="70"/>
      <c r="H16" s="70"/>
      <c r="I16" s="70"/>
      <c r="J16" s="70"/>
      <c r="K16" s="70"/>
      <c r="L16" s="70"/>
      <c r="M16" s="71"/>
    </row>
    <row r="17" spans="1:24" s="2" customFormat="1" ht="89.45" customHeight="1">
      <c r="A17" s="69" t="s">
        <v>4</v>
      </c>
      <c r="B17" s="70"/>
      <c r="C17" s="70"/>
      <c r="D17" s="70"/>
      <c r="E17" s="70"/>
      <c r="F17" s="70"/>
      <c r="G17" s="70"/>
      <c r="H17" s="70"/>
      <c r="I17" s="70"/>
      <c r="J17" s="70"/>
      <c r="K17" s="70"/>
      <c r="L17" s="70"/>
      <c r="M17" s="71"/>
    </row>
    <row r="18" spans="1:24" s="3" customFormat="1" ht="89.45" customHeight="1">
      <c r="A18" s="15"/>
      <c r="B18" s="16"/>
      <c r="C18" s="17"/>
      <c r="D18" s="16"/>
      <c r="E18" s="16" t="s">
        <v>5</v>
      </c>
      <c r="F18" s="16"/>
      <c r="G18" s="16"/>
      <c r="H18" s="16"/>
      <c r="I18" s="16"/>
      <c r="J18" s="16"/>
      <c r="K18" s="16"/>
      <c r="L18" s="16"/>
      <c r="M18" s="18"/>
    </row>
    <row r="19" spans="1:24" s="4" customFormat="1" ht="89.45" customHeight="1" thickBot="1">
      <c r="A19" s="72"/>
      <c r="B19" s="72"/>
      <c r="C19" s="72"/>
      <c r="D19" s="72"/>
      <c r="E19" s="72"/>
      <c r="F19" s="72"/>
      <c r="G19" s="72"/>
      <c r="H19" s="72"/>
      <c r="I19" s="72"/>
      <c r="J19" s="72"/>
      <c r="K19" s="72"/>
      <c r="L19" s="72"/>
      <c r="M19" s="72"/>
    </row>
    <row r="20" spans="1:24" s="4" customFormat="1" ht="89.25" customHeight="1">
      <c r="A20" s="19" t="s">
        <v>6</v>
      </c>
      <c r="B20" s="20"/>
      <c r="C20" s="21"/>
      <c r="D20" s="20"/>
      <c r="E20" s="20"/>
      <c r="F20" s="20"/>
      <c r="G20" s="20"/>
      <c r="H20" s="20"/>
      <c r="I20" s="20"/>
      <c r="J20" s="73" t="s">
        <v>7</v>
      </c>
      <c r="K20" s="73"/>
      <c r="L20" s="20" t="s">
        <v>41</v>
      </c>
      <c r="M20" s="20"/>
    </row>
    <row r="21" spans="1:24" s="4" customFormat="1" ht="89.25">
      <c r="A21" s="22" t="s">
        <v>8</v>
      </c>
      <c r="B21" s="23"/>
      <c r="C21" s="24"/>
      <c r="D21" s="23"/>
      <c r="E21" s="23"/>
      <c r="F21" s="23"/>
      <c r="G21" s="23"/>
      <c r="H21" s="23"/>
      <c r="I21" s="23"/>
      <c r="J21" s="65" t="s">
        <v>9</v>
      </c>
      <c r="K21" s="65"/>
      <c r="L21" s="65">
        <v>20061801</v>
      </c>
      <c r="M21" s="65"/>
      <c r="N21" s="68"/>
    </row>
    <row r="22" spans="1:24" s="4" customFormat="1" ht="89.25">
      <c r="A22" s="22" t="s">
        <v>10</v>
      </c>
      <c r="B22" s="23"/>
      <c r="C22" s="24"/>
      <c r="D22" s="23"/>
      <c r="E22" s="23"/>
      <c r="F22" s="23"/>
      <c r="G22" s="23"/>
      <c r="H22" s="23"/>
      <c r="I22" s="23"/>
      <c r="J22" s="65" t="s">
        <v>11</v>
      </c>
      <c r="K22" s="65"/>
      <c r="L22" s="65" t="s">
        <v>12</v>
      </c>
      <c r="M22" s="65"/>
      <c r="N22" s="68"/>
    </row>
    <row r="23" spans="1:24" s="4" customFormat="1" ht="89.25">
      <c r="A23" s="22" t="s">
        <v>13</v>
      </c>
      <c r="B23" s="23"/>
      <c r="C23" s="24"/>
      <c r="D23" s="23"/>
      <c r="E23" s="23"/>
      <c r="F23" s="23"/>
      <c r="G23" s="23"/>
      <c r="H23" s="23"/>
      <c r="I23" s="23"/>
      <c r="J23" s="23" t="s">
        <v>14</v>
      </c>
      <c r="K23" s="23"/>
      <c r="L23" s="23" t="s">
        <v>42</v>
      </c>
      <c r="M23" s="25"/>
    </row>
    <row r="24" spans="1:24" s="3" customFormat="1" ht="89.25">
      <c r="A24" s="22" t="s">
        <v>15</v>
      </c>
      <c r="B24" s="23"/>
      <c r="C24" s="24"/>
      <c r="D24" s="23"/>
      <c r="E24" s="23"/>
      <c r="F24" s="23"/>
      <c r="G24" s="23"/>
      <c r="H24" s="23"/>
      <c r="I24" s="23"/>
      <c r="J24" s="65" t="s">
        <v>16</v>
      </c>
      <c r="K24" s="65"/>
      <c r="L24" s="65" t="s">
        <v>39</v>
      </c>
      <c r="M24" s="65"/>
      <c r="N24" s="68"/>
    </row>
    <row r="25" spans="1:24" s="3" customFormat="1" ht="89.25" customHeight="1">
      <c r="A25" s="26"/>
      <c r="B25" s="27"/>
      <c r="C25" s="28"/>
      <c r="D25" s="27"/>
      <c r="E25" s="27"/>
      <c r="F25" s="27"/>
      <c r="G25" s="27"/>
      <c r="H25" s="27"/>
      <c r="I25" s="27"/>
      <c r="J25" s="65" t="s">
        <v>17</v>
      </c>
      <c r="K25" s="65"/>
      <c r="L25" s="66">
        <v>45686</v>
      </c>
      <c r="M25" s="66"/>
      <c r="N25" s="67"/>
    </row>
    <row r="26" spans="1:24" s="3" customFormat="1" ht="88.9" customHeight="1">
      <c r="A26" s="26"/>
      <c r="B26" s="27"/>
      <c r="C26" s="28"/>
      <c r="D26" s="27"/>
      <c r="E26" s="27"/>
      <c r="F26" s="27"/>
      <c r="G26" s="27"/>
      <c r="H26" s="27"/>
      <c r="I26" s="27"/>
      <c r="J26" s="23" t="s">
        <v>18</v>
      </c>
      <c r="K26" s="23"/>
      <c r="L26" s="23">
        <v>996791</v>
      </c>
      <c r="M26" s="29"/>
    </row>
    <row r="27" spans="1:24" s="5" customFormat="1" ht="104.25" customHeight="1">
      <c r="A27" s="26"/>
      <c r="B27" s="27"/>
      <c r="C27" s="28"/>
      <c r="D27" s="27"/>
      <c r="E27" s="27"/>
      <c r="F27" s="27"/>
      <c r="G27" s="27"/>
      <c r="H27" s="27"/>
      <c r="I27" s="27"/>
      <c r="J27" s="27"/>
      <c r="K27" s="30"/>
      <c r="L27" s="30"/>
      <c r="M27" s="31"/>
    </row>
    <row r="28" spans="1:24" s="6" customFormat="1" ht="174" customHeight="1">
      <c r="A28" s="10" t="s">
        <v>19</v>
      </c>
      <c r="B28" s="10" t="s">
        <v>20</v>
      </c>
      <c r="C28" s="10" t="s">
        <v>21</v>
      </c>
      <c r="D28" s="10" t="s">
        <v>22</v>
      </c>
      <c r="E28" s="10" t="s">
        <v>23</v>
      </c>
      <c r="F28" s="10" t="s">
        <v>24</v>
      </c>
      <c r="G28" s="10" t="s">
        <v>25</v>
      </c>
      <c r="H28" s="10" t="s">
        <v>36</v>
      </c>
      <c r="I28" s="10" t="s">
        <v>26</v>
      </c>
      <c r="J28" s="10" t="s">
        <v>27</v>
      </c>
      <c r="K28" s="10" t="s">
        <v>28</v>
      </c>
      <c r="L28" s="10" t="s">
        <v>29</v>
      </c>
      <c r="M28" s="10" t="s">
        <v>30</v>
      </c>
    </row>
    <row r="29" spans="1:24" s="2" customFormat="1" ht="92.25">
      <c r="A29" s="32">
        <v>1</v>
      </c>
      <c r="B29" s="49">
        <v>45611</v>
      </c>
      <c r="C29" s="47" t="s">
        <v>43</v>
      </c>
      <c r="D29" s="47" t="s">
        <v>40</v>
      </c>
      <c r="E29" s="46" t="s">
        <v>44</v>
      </c>
      <c r="F29" s="46" t="s">
        <v>45</v>
      </c>
      <c r="G29" s="47" t="s">
        <v>37</v>
      </c>
      <c r="H29" s="47">
        <v>3501</v>
      </c>
      <c r="I29" s="47" t="s">
        <v>46</v>
      </c>
      <c r="J29" s="47" t="s">
        <v>38</v>
      </c>
      <c r="K29" s="50">
        <v>36.590000000000003</v>
      </c>
      <c r="L29" s="48">
        <f>M29/K29</f>
        <v>1362.9999999999998</v>
      </c>
      <c r="M29" s="48">
        <v>49872.17</v>
      </c>
      <c r="N29" s="12"/>
      <c r="O29" s="1"/>
      <c r="P29" s="1"/>
      <c r="Q29" s="1"/>
      <c r="R29" s="1"/>
      <c r="S29" s="1"/>
      <c r="T29" s="1"/>
      <c r="U29" s="1"/>
      <c r="V29" s="1"/>
      <c r="W29" s="1"/>
      <c r="X29" s="1"/>
    </row>
    <row r="30" spans="1:24" s="2" customFormat="1" ht="92.25">
      <c r="A30" s="32"/>
      <c r="B30" s="33"/>
      <c r="C30" s="34"/>
      <c r="D30" s="37"/>
      <c r="E30" s="34"/>
      <c r="F30" s="34"/>
      <c r="G30" s="37"/>
      <c r="H30" s="37"/>
      <c r="I30" s="34"/>
      <c r="J30" s="37"/>
      <c r="K30" s="35"/>
      <c r="L30" s="36"/>
      <c r="M30" s="36"/>
      <c r="N30" s="12"/>
      <c r="O30" s="1"/>
      <c r="P30" s="1"/>
      <c r="Q30" s="1"/>
      <c r="R30" s="1"/>
      <c r="S30" s="1"/>
      <c r="T30" s="1"/>
      <c r="U30" s="1"/>
      <c r="V30" s="1"/>
      <c r="W30" s="1"/>
      <c r="X30" s="1"/>
    </row>
    <row r="31" spans="1:24" s="7" customFormat="1" ht="191.25" customHeight="1">
      <c r="A31" s="38" t="s">
        <v>31</v>
      </c>
      <c r="B31" s="39"/>
      <c r="C31" s="39"/>
      <c r="D31" s="39"/>
      <c r="E31" s="39"/>
      <c r="F31" s="39"/>
      <c r="G31" s="39"/>
      <c r="H31" s="39"/>
      <c r="I31" s="40"/>
      <c r="J31" s="39"/>
      <c r="K31" s="41">
        <f>SUM(K29:K30)</f>
        <v>36.590000000000003</v>
      </c>
      <c r="L31" s="39">
        <f>SUM(L29:L30)</f>
        <v>1362.9999999999998</v>
      </c>
      <c r="M31" s="42">
        <f>SUM(M29:M30)</f>
        <v>49872.17</v>
      </c>
    </row>
    <row r="32" spans="1:24" s="7" customFormat="1" ht="321.75" customHeight="1">
      <c r="A32" s="38"/>
      <c r="B32" s="39"/>
      <c r="C32" s="39"/>
      <c r="D32" s="39"/>
      <c r="E32" s="39"/>
      <c r="F32" s="39"/>
      <c r="G32" s="39"/>
      <c r="H32" s="39"/>
      <c r="I32" s="40"/>
      <c r="J32" s="39"/>
      <c r="K32" s="39"/>
      <c r="L32" s="39" t="s">
        <v>32</v>
      </c>
      <c r="M32" s="43">
        <f>+M31*12%</f>
        <v>5984.6603999999998</v>
      </c>
    </row>
    <row r="33" spans="1:14" s="7" customFormat="1" ht="216.75" customHeight="1">
      <c r="A33" s="51" t="s">
        <v>47</v>
      </c>
      <c r="B33" s="52"/>
      <c r="C33" s="52"/>
      <c r="D33" s="52"/>
      <c r="E33" s="52"/>
      <c r="F33" s="52"/>
      <c r="G33" s="52"/>
      <c r="H33" s="52"/>
      <c r="I33" s="52"/>
      <c r="J33" s="52"/>
      <c r="K33" s="53"/>
      <c r="L33" s="39"/>
      <c r="M33" s="44"/>
    </row>
    <row r="34" spans="1:14" s="7" customFormat="1" ht="216.75" customHeight="1" thickBot="1">
      <c r="A34" s="54" t="s">
        <v>48</v>
      </c>
      <c r="B34" s="54"/>
      <c r="C34" s="54"/>
      <c r="D34" s="54"/>
      <c r="E34" s="54"/>
      <c r="F34" s="54"/>
      <c r="G34" s="54"/>
      <c r="H34" s="54"/>
      <c r="I34" s="54"/>
      <c r="J34" s="54"/>
      <c r="K34" s="54"/>
      <c r="L34" s="45" t="s">
        <v>33</v>
      </c>
      <c r="M34" s="43">
        <f>+M31+M32</f>
        <v>55856.830399999999</v>
      </c>
    </row>
    <row r="35" spans="1:14" s="7" customFormat="1" ht="89.25" customHeight="1">
      <c r="A35" s="56" t="s">
        <v>35</v>
      </c>
      <c r="B35" s="57"/>
      <c r="C35" s="57"/>
      <c r="D35" s="57"/>
      <c r="E35" s="57"/>
      <c r="F35" s="57"/>
      <c r="G35" s="57"/>
      <c r="H35" s="57"/>
      <c r="I35" s="57"/>
      <c r="J35" s="57"/>
      <c r="K35" s="57"/>
      <c r="L35" s="57"/>
      <c r="M35" s="57"/>
      <c r="N35" s="58"/>
    </row>
    <row r="36" spans="1:14" s="7" customFormat="1" ht="89.25" customHeight="1">
      <c r="A36" s="59"/>
      <c r="B36" s="60"/>
      <c r="C36" s="60"/>
      <c r="D36" s="60"/>
      <c r="E36" s="60"/>
      <c r="F36" s="60"/>
      <c r="G36" s="60"/>
      <c r="H36" s="60"/>
      <c r="I36" s="60"/>
      <c r="J36" s="60"/>
      <c r="K36" s="60"/>
      <c r="L36" s="60"/>
      <c r="M36" s="60"/>
      <c r="N36" s="61"/>
    </row>
    <row r="37" spans="1:14" s="7" customFormat="1" ht="89.25" customHeight="1">
      <c r="A37" s="59"/>
      <c r="B37" s="60"/>
      <c r="C37" s="60"/>
      <c r="D37" s="60"/>
      <c r="E37" s="60"/>
      <c r="F37" s="60"/>
      <c r="G37" s="60"/>
      <c r="H37" s="60"/>
      <c r="I37" s="60"/>
      <c r="J37" s="60"/>
      <c r="K37" s="60"/>
      <c r="L37" s="60"/>
      <c r="M37" s="60"/>
      <c r="N37" s="61"/>
    </row>
    <row r="38" spans="1:14" ht="89.25" customHeight="1" thickBot="1">
      <c r="A38" s="62"/>
      <c r="B38" s="63"/>
      <c r="C38" s="63"/>
      <c r="D38" s="63"/>
      <c r="E38" s="63"/>
      <c r="F38" s="63"/>
      <c r="G38" s="63"/>
      <c r="H38" s="63"/>
      <c r="I38" s="63"/>
      <c r="J38" s="63"/>
      <c r="K38" s="63"/>
      <c r="L38" s="63"/>
      <c r="M38" s="63"/>
      <c r="N38" s="64"/>
    </row>
    <row r="39" spans="1:14" ht="89.25" customHeight="1"/>
    <row r="40" spans="1:14" ht="89.25" customHeight="1">
      <c r="J40" t="s">
        <v>34</v>
      </c>
      <c r="K40" s="7"/>
    </row>
    <row r="41" spans="1:14" ht="89.25" customHeight="1">
      <c r="K41" s="7"/>
    </row>
    <row r="42" spans="1:14" ht="89.25" customHeight="1">
      <c r="L42" s="11" t="s">
        <v>12</v>
      </c>
    </row>
    <row r="43" spans="1:14" ht="89.25" customHeight="1">
      <c r="C43" s="55"/>
      <c r="D43" s="55"/>
      <c r="E43" s="55"/>
      <c r="F43" s="55"/>
      <c r="G43" s="55"/>
      <c r="H43" s="55"/>
      <c r="I43" s="55"/>
      <c r="J43" s="55"/>
      <c r="K43" s="55"/>
      <c r="L43" s="55"/>
    </row>
  </sheetData>
  <mergeCells count="23">
    <mergeCell ref="J6:M6"/>
    <mergeCell ref="A13:M13"/>
    <mergeCell ref="A14:M14"/>
    <mergeCell ref="A15:M15"/>
    <mergeCell ref="A16:M16"/>
    <mergeCell ref="D9:F9"/>
    <mergeCell ref="D3:F7"/>
    <mergeCell ref="J8:M9"/>
    <mergeCell ref="A17:M17"/>
    <mergeCell ref="A19:M19"/>
    <mergeCell ref="J20:K20"/>
    <mergeCell ref="J21:K21"/>
    <mergeCell ref="L21:N21"/>
    <mergeCell ref="A33:K33"/>
    <mergeCell ref="A34:K34"/>
    <mergeCell ref="C43:L43"/>
    <mergeCell ref="A35:N38"/>
    <mergeCell ref="J22:K22"/>
    <mergeCell ref="J24:K24"/>
    <mergeCell ref="J25:K25"/>
    <mergeCell ref="L25:N25"/>
    <mergeCell ref="L22:N22"/>
    <mergeCell ref="L24:N24"/>
  </mergeCells>
  <pageMargins left="0.23" right="0.23622047244094499" top="1.4173228346456701" bottom="0.74803149606299202" header="0.31496062992126" footer="0.31496062992126"/>
  <pageSetup scale="10" fitToHeight="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bill5</vt:lpstr>
      <vt:lpstr>bill5!Print_Area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dc:creator>
  <cp:lastModifiedBy>FIS Arcom</cp:lastModifiedBy>
  <cp:lastPrinted>2025-01-11T16:38:39Z</cp:lastPrinted>
  <dcterms:created xsi:type="dcterms:W3CDTF">2006-09-16T00:00:00Z</dcterms:created>
  <dcterms:modified xsi:type="dcterms:W3CDTF">2025-01-29T11:44:08Z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8411DFEC47034A2696280A82B0C25286</vt:lpwstr>
  </property>
  <property fmtid="{D5CDD505-2E9C-101B-9397-08002B2CF9AE}" pid="3" name="KSOProductBuildVer">
    <vt:lpwstr>1033-11.2.0.11537</vt:lpwstr>
  </property>
</Properties>
</file>
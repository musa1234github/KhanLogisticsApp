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05" yWindow="-105" windowWidth="20730" windowHeight="11760" tabRatio="604"/>
  </bookViews>
  <sheets>
    <sheet name="bill5" sheetId="3" r:id="rId1"/>
  </sheets>
  <definedNames>
    <definedName name="_xlnm._FilterDatabase" localSheetId="0" hidden="1">bill5!$E$29:$E$39</definedName>
    <definedName name="_xlnm.Print_Area" localSheetId="0">bill5!$A$2:$M$68</definedName>
  </definedNames>
  <calcPr calcId="124519"/>
</workbook>
</file>

<file path=xl/calcChain.xml><?xml version="1.0" encoding="utf-8"?>
<calcChain xmlns="http://schemas.openxmlformats.org/spreadsheetml/2006/main">
  <c r="M56" i="3"/>
  <c r="M57" s="1"/>
  <c r="M59" s="1"/>
  <c r="K56"/>
  <c r="L30"/>
  <c r="L31"/>
  <c r="L32"/>
  <c r="L33"/>
  <c r="L34"/>
  <c r="L35"/>
  <c r="L36"/>
  <c r="L37"/>
  <c r="L38"/>
  <c r="L39"/>
  <c r="L40"/>
  <c r="L41"/>
  <c r="L42"/>
  <c r="L43"/>
  <c r="L44"/>
  <c r="L45"/>
  <c r="L46"/>
  <c r="L47"/>
  <c r="L48"/>
  <c r="L49"/>
  <c r="L50"/>
  <c r="L51"/>
  <c r="L52"/>
  <c r="L53"/>
  <c r="L54"/>
  <c r="L29"/>
</calcChain>
</file>

<file path=xl/sharedStrings.xml><?xml version="1.0" encoding="utf-8"?>
<sst xmlns="http://schemas.openxmlformats.org/spreadsheetml/2006/main" count="226" uniqueCount="148">
  <si>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</si>
  <si>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</si>
  <si>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</si>
  <si>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</si>
  <si>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</si>
  <si>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</si>
  <si>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</si>
  <si>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</si>
  <si>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</si>
  <si>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</si>
  <si>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</si>
  <si>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</si>
  <si>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</si>
  <si>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</si>
  <si>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</si>
  <si>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</si>
  <si>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</si>
  <si>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</si>
  <si>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</si>
  <si>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</si>
  <si>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</si>
  <si>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</si>
  <si>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</si>
  <si>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</si>
  <si>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</si>
  <si>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</si>
  <si>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</si>
  <si>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</si>
  <si>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</si>
  <si>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</si>
  <si>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 Value</t>
  </si>
  <si>
    <t>Total</t>
  </si>
  <si>
    <t>IGST12%</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</si>
  <si>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</si>
  <si>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</si>
  <si>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</si>
  <si>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</si>
  <si>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</si>
  <si>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</si>
  <si>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 xml:space="preserve"> N</t>
  </si>
  <si>
    <t>MIYAPUR</t>
  </si>
  <si>
    <t>MOINABAD</t>
  </si>
  <si>
    <t>GSM INFRA</t>
  </si>
  <si>
    <t>HYDERABAD</t>
  </si>
  <si>
    <t>TELLAPUR TECHNOCITY PVT LIMITED</t>
  </si>
  <si>
    <t>TELLAPUR</t>
  </si>
  <si>
    <t>ALEKHYA HOMES BUILDING SYSTEMS PVT</t>
  </si>
  <si>
    <t>BHAVYA CONSTRUCTIONS PVT LTD</t>
  </si>
  <si>
    <t>KALPATARU PROJECTS INTERNATIONAL LI</t>
  </si>
  <si>
    <t>RAJA PUSHPA PROPERTIES PVT LTD</t>
  </si>
  <si>
    <t>TS01UC1795</t>
  </si>
  <si>
    <t>JAYABHERI PROPERTIES PVT LTD</t>
  </si>
  <si>
    <t>MH34BG6934</t>
  </si>
  <si>
    <t>MH34BG6594</t>
  </si>
  <si>
    <t>TS01UC2095</t>
  </si>
  <si>
    <t xml:space="preserve"> 21-DEC-2024   </t>
  </si>
  <si>
    <t>KTC/24-25/J-155</t>
  </si>
  <si>
    <t>HYMA DEVELOPERS PRIVATE LIMITED</t>
  </si>
  <si>
    <t>3020771276</t>
  </si>
  <si>
    <t>TS01UC2082</t>
  </si>
  <si>
    <t>4021171035</t>
  </si>
  <si>
    <t>GLOBAL HOMES AND HEIGHTS LLP</t>
  </si>
  <si>
    <t>3020767586</t>
  </si>
  <si>
    <t>TS01UC1785</t>
  </si>
  <si>
    <t>4021170170</t>
  </si>
  <si>
    <t>RAGHURAM PRADEEP CONSTRUCTIONS (IN)</t>
  </si>
  <si>
    <t>3020774324</t>
  </si>
  <si>
    <t>TS01UC1782</t>
  </si>
  <si>
    <t>4021171138</t>
  </si>
  <si>
    <t>SRIAS DEVELOPERS LLP</t>
  </si>
  <si>
    <t>3020774232</t>
  </si>
  <si>
    <t>MH34BG7117</t>
  </si>
  <si>
    <t>4021167424</t>
  </si>
  <si>
    <t>ANUHAR ENTERPRISES</t>
  </si>
  <si>
    <t>3020771367</t>
  </si>
  <si>
    <t>TS01UC2126</t>
  </si>
  <si>
    <t>4021166554</t>
  </si>
  <si>
    <t>3020775312</t>
  </si>
  <si>
    <t>MH34BG7180</t>
  </si>
  <si>
    <t>4021157894</t>
  </si>
  <si>
    <t>3020774329</t>
  </si>
  <si>
    <t>TS01UC2127</t>
  </si>
  <si>
    <t>4021171849</t>
  </si>
  <si>
    <t>VESSELLA CONCRETE</t>
  </si>
  <si>
    <t>3020775513</t>
  </si>
  <si>
    <t>MH34BG6592</t>
  </si>
  <si>
    <t>4021172240</t>
  </si>
  <si>
    <t>MY HOME CONSTRUCTION PVT LTD</t>
  </si>
  <si>
    <t>3020774939</t>
  </si>
  <si>
    <t>MH34BG6597</t>
  </si>
  <si>
    <t>4021172731</t>
  </si>
  <si>
    <t>3020776285</t>
  </si>
  <si>
    <t>4021174826</t>
  </si>
  <si>
    <t>3020775992</t>
  </si>
  <si>
    <t>TS01UC2090</t>
  </si>
  <si>
    <t>4021169743</t>
  </si>
  <si>
    <t>MYHOME INFRASTRUCTURES PRIVATE LIMI</t>
  </si>
  <si>
    <t>3020769240</t>
  </si>
  <si>
    <t>4021168312</t>
  </si>
  <si>
    <t>3020775408</t>
  </si>
  <si>
    <t>TS01UC2081</t>
  </si>
  <si>
    <t>4021173689</t>
  </si>
  <si>
    <t>VAMSIRAM VINEEL VENTURES LLP</t>
  </si>
  <si>
    <t>3020774435</t>
  </si>
  <si>
    <t>4021172752</t>
  </si>
  <si>
    <t>NUVOCO VISTAS CORP. LTD.</t>
  </si>
  <si>
    <t>3020713100</t>
  </si>
  <si>
    <t>MH34BG6596</t>
  </si>
  <si>
    <t>4021171850</t>
  </si>
  <si>
    <t>VENTURA ESTATE DEVELOPERS</t>
  </si>
  <si>
    <t>3020773255</t>
  </si>
  <si>
    <t>MH34BG6931</t>
  </si>
  <si>
    <t>4021172320</t>
  </si>
  <si>
    <t>VAMSIRAM NEWMARK URBAN LLP</t>
  </si>
  <si>
    <t>3020776672</t>
  </si>
  <si>
    <t>MH34BG6589</t>
  </si>
  <si>
    <t>4021166063</t>
  </si>
  <si>
    <t>POULOMI ESTATES PVT LTD</t>
  </si>
  <si>
    <t>3020775556</t>
  </si>
  <si>
    <t>4021174039</t>
  </si>
  <si>
    <t>3020771300</t>
  </si>
  <si>
    <t>4021173937</t>
  </si>
  <si>
    <t>3020775180</t>
  </si>
  <si>
    <t>TS01UC7869</t>
  </si>
  <si>
    <t>4021170159</t>
  </si>
  <si>
    <t>RAJAPUSHPA ASSET MANAGEMENT LLP</t>
  </si>
  <si>
    <t>3020777193</t>
  </si>
  <si>
    <t>TS01UC1796</t>
  </si>
  <si>
    <t>4021167001</t>
  </si>
  <si>
    <t>ULTRATECH CEMENT LIMITED</t>
  </si>
  <si>
    <t>KOMPALLY</t>
  </si>
  <si>
    <t>3020777322</t>
  </si>
  <si>
    <t>4021176165</t>
  </si>
  <si>
    <t>3020775704</t>
  </si>
  <si>
    <t>TS01UC2125</t>
  </si>
  <si>
    <t>4021175167</t>
  </si>
  <si>
    <t>3020777002</t>
  </si>
  <si>
    <t>MH34BG6521</t>
  </si>
  <si>
    <t>4021169779</t>
  </si>
  <si>
    <t>NEXTGEN RMC</t>
  </si>
  <si>
    <t>3020772908</t>
  </si>
  <si>
    <t>TS01UC1808</t>
  </si>
  <si>
    <t>4021174637</t>
  </si>
  <si>
    <t>3020718136</t>
  </si>
  <si>
    <t>TS01UC1754</t>
  </si>
  <si>
    <t>4021175318</t>
  </si>
  <si>
    <t xml:space="preserve">GST IN WORDS  :- Rupees One Lakh Fifty-one Thousand Nine Hundred Sixty-six And Thirty-seven Paise Only
</t>
  </si>
  <si>
    <t xml:space="preserve"> AMOUNT IN WORDS:- Rupees Fourteen Lakh Eighteen Thousand Three Hundred Fifty-two And Seventy-seven Paise Only</t>
  </si>
</sst>
</file>

<file path=xl/styles.xml><?xml version="1.0" encoding="utf-8"?>
<styleSheet xmlns="http://schemas.openxmlformats.org/spreadsheetml/2006/main">
  <fonts count="21">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name val="Calibri"/>
      <family val="2"/>
      <scheme val="minor"/>
    </font>
    <font>
      <b/>
      <sz val="65"/>
      <color theme="1"/>
      <name val="Calibri"/>
      <family val="2"/>
      <scheme val="minor"/>
    </font>
    <font>
      <b/>
      <sz val="65"/>
      <color rgb="FF000000"/>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2" fillId="0" borderId="7" xfId="0" applyFont="1" applyBorder="1" applyAlignment="1">
      <alignment horizontal="center" vertical="center" wrapText="1"/>
    </xf>
    <xf numFmtId="4" fontId="13" fillId="0" borderId="7" xfId="0" applyNumberFormat="1" applyFont="1" applyBorder="1" applyAlignment="1">
      <alignment horizontal="center" vertical="center" shrinkToFit="1"/>
    </xf>
    <xf numFmtId="0" fontId="16" fillId="0" borderId="0" xfId="0" applyFont="1"/>
    <xf numFmtId="0" fontId="12" fillId="0" borderId="14" xfId="0" applyFont="1" applyBorder="1" applyAlignment="1">
      <alignment horizontal="center" vertical="center" wrapText="1"/>
    </xf>
    <xf numFmtId="4" fontId="13" fillId="0" borderId="14" xfId="0" applyNumberFormat="1" applyFont="1" applyBorder="1" applyAlignment="1">
      <alignment horizontal="center" vertical="center" shrinkToFit="1"/>
    </xf>
    <xf numFmtId="0" fontId="1" fillId="0" borderId="0" xfId="0" applyFont="1" applyAlignment="1">
      <alignment horizontal="center"/>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17" fillId="0" borderId="0" xfId="0" applyFont="1"/>
    <xf numFmtId="0" fontId="17" fillId="0" borderId="0" xfId="0" applyFont="1" applyAlignment="1">
      <alignment wrapText="1"/>
    </xf>
    <xf numFmtId="0" fontId="19" fillId="0" borderId="1" xfId="0" applyFont="1" applyBorder="1" applyAlignment="1">
      <alignment horizontal="center"/>
    </xf>
    <xf numFmtId="0" fontId="19" fillId="0" borderId="2" xfId="0" applyFont="1" applyBorder="1" applyAlignment="1">
      <alignment horizontal="center"/>
    </xf>
    <xf numFmtId="0" fontId="19" fillId="0" borderId="2" xfId="0" applyFont="1" applyBorder="1" applyAlignment="1">
      <alignment horizontal="center" wrapText="1"/>
    </xf>
    <xf numFmtId="0" fontId="19" fillId="0" borderId="8" xfId="0" applyFont="1" applyBorder="1" applyAlignment="1">
      <alignment horizontal="center"/>
    </xf>
    <xf numFmtId="0" fontId="19" fillId="0" borderId="4" xfId="0" applyFont="1" applyBorder="1" applyAlignment="1">
      <alignment horizontal="left" vertical="top"/>
    </xf>
    <xf numFmtId="0" fontId="19" fillId="0" borderId="5" xfId="0" applyFont="1" applyBorder="1" applyAlignment="1">
      <alignment horizontal="left" vertical="top"/>
    </xf>
    <xf numFmtId="0" fontId="19" fillId="0" borderId="5" xfId="0" applyFont="1" applyBorder="1" applyAlignment="1">
      <alignment horizontal="left" vertical="top" wrapText="1"/>
    </xf>
    <xf numFmtId="0" fontId="19" fillId="0" borderId="6" xfId="0" applyFont="1" applyBorder="1" applyAlignment="1">
      <alignment horizontal="left" vertical="top"/>
    </xf>
    <xf numFmtId="0" fontId="19" fillId="0" borderId="0" xfId="0" applyFont="1" applyAlignment="1">
      <alignment horizontal="left" vertical="top"/>
    </xf>
    <xf numFmtId="0" fontId="19" fillId="0" borderId="0" xfId="0" applyFont="1" applyAlignment="1">
      <alignment horizontal="left" vertical="top" wrapText="1"/>
    </xf>
    <xf numFmtId="0" fontId="19" fillId="0" borderId="9" xfId="0" applyFont="1" applyBorder="1" applyAlignment="1">
      <alignment horizontal="left" vertical="top"/>
    </xf>
    <xf numFmtId="0" fontId="20" fillId="0" borderId="6" xfId="0" applyFont="1" applyBorder="1"/>
    <xf numFmtId="0" fontId="20" fillId="0" borderId="0" xfId="0" applyFont="1"/>
    <xf numFmtId="0" fontId="20" fillId="0" borderId="0" xfId="0" applyFont="1" applyAlignment="1">
      <alignment wrapText="1"/>
    </xf>
    <xf numFmtId="15" fontId="19" fillId="0" borderId="9" xfId="0" applyNumberFormat="1" applyFont="1" applyBorder="1" applyAlignment="1">
      <alignment horizontal="left" vertical="top"/>
    </xf>
    <xf numFmtId="0" fontId="19" fillId="0" borderId="0" xfId="0" applyFont="1"/>
    <xf numFmtId="0" fontId="20" fillId="0" borderId="9" xfId="0" applyFont="1" applyBorder="1"/>
    <xf numFmtId="0" fontId="12" fillId="0" borderId="14" xfId="0" applyFont="1" applyBorder="1" applyAlignment="1">
      <alignment horizontal="center" vertical="center"/>
    </xf>
    <xf numFmtId="0" fontId="17" fillId="0" borderId="0" xfId="0" applyFont="1" applyAlignment="1">
      <alignment vertical="top"/>
    </xf>
    <xf numFmtId="0" fontId="12" fillId="0" borderId="7" xfId="0" applyFont="1" applyBorder="1" applyAlignment="1">
      <alignment horizontal="center" vertical="center"/>
    </xf>
    <xf numFmtId="4" fontId="13" fillId="2" borderId="7" xfId="0" applyNumberFormat="1" applyFont="1" applyFill="1" applyBorder="1" applyAlignment="1">
      <alignment horizontal="center" vertical="center" shrinkToFit="1"/>
    </xf>
    <xf numFmtId="0" fontId="12" fillId="2" borderId="7" xfId="0" applyFont="1" applyFill="1" applyBorder="1" applyAlignment="1">
      <alignment horizontal="center" vertical="center"/>
    </xf>
    <xf numFmtId="14" fontId="12" fillId="2" borderId="7" xfId="0" applyNumberFormat="1" applyFont="1" applyFill="1" applyBorder="1" applyAlignment="1">
      <alignment horizontal="center" vertical="center"/>
    </xf>
    <xf numFmtId="1" fontId="12" fillId="2" borderId="7" xfId="0" applyNumberFormat="1" applyFont="1" applyFill="1" applyBorder="1" applyAlignment="1">
      <alignment horizontal="center" vertical="center"/>
    </xf>
    <xf numFmtId="0" fontId="19" fillId="0" borderId="5" xfId="0" applyFont="1" applyBorder="1" applyAlignment="1">
      <alignment horizontal="left" vertical="top"/>
    </xf>
    <xf numFmtId="0" fontId="19" fillId="0" borderId="0" xfId="0" applyFont="1" applyAlignment="1">
      <alignment horizontal="left" vertical="top"/>
    </xf>
    <xf numFmtId="0" fontId="9" fillId="0" borderId="0" xfId="0" applyFont="1" applyAlignment="1">
      <alignment horizontal="center" vertical="center"/>
    </xf>
    <xf numFmtId="0" fontId="19" fillId="0" borderId="1" xfId="0" applyFont="1" applyBorder="1" applyAlignment="1">
      <alignment horizontal="center"/>
    </xf>
    <xf numFmtId="0" fontId="19" fillId="0" borderId="2" xfId="0" applyFont="1" applyBorder="1" applyAlignment="1">
      <alignment horizontal="center"/>
    </xf>
    <xf numFmtId="0" fontId="19" fillId="0" borderId="8" xfId="0" applyFont="1" applyBorder="1" applyAlignment="1">
      <alignment horizontal="center"/>
    </xf>
    <xf numFmtId="0" fontId="8" fillId="0" borderId="0" xfId="0" applyFont="1" applyAlignment="1">
      <alignment horizontal="center" vertical="center"/>
    </xf>
    <xf numFmtId="0" fontId="7" fillId="0" borderId="0" xfId="0" applyFont="1" applyAlignment="1">
      <alignment horizontal="center" vertical="center"/>
    </xf>
    <xf numFmtId="0" fontId="18" fillId="0" borderId="0" xfId="0" applyFont="1" applyAlignment="1">
      <alignment horizontal="center" vertical="center"/>
    </xf>
    <xf numFmtId="0" fontId="20" fillId="0" borderId="3" xfId="0" applyFont="1" applyBorder="1" applyAlignment="1">
      <alignment horizontal="center"/>
    </xf>
    <xf numFmtId="0" fontId="19" fillId="0" borderId="5" xfId="0" applyFont="1" applyBorder="1" applyAlignment="1">
      <alignment horizontal="left" vertical="top"/>
    </xf>
    <xf numFmtId="0" fontId="19" fillId="0" borderId="0" xfId="0" applyFont="1" applyAlignment="1">
      <alignment horizontal="left" vertical="top"/>
    </xf>
    <xf numFmtId="0" fontId="19" fillId="0" borderId="9" xfId="0" applyFont="1" applyBorder="1" applyAlignment="1">
      <alignment horizontal="left" vertical="top"/>
    </xf>
    <xf numFmtId="15" fontId="19" fillId="0" borderId="0" xfId="0" applyNumberFormat="1" applyFont="1" applyAlignment="1">
      <alignment horizontal="left" vertical="top"/>
    </xf>
    <xf numFmtId="15" fontId="19" fillId="0" borderId="9" xfId="0" applyNumberFormat="1" applyFont="1" applyBorder="1" applyAlignment="1">
      <alignment horizontal="left" vertical="top"/>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10" xfId="0" applyFont="1" applyBorder="1" applyAlignment="1">
      <alignment horizontal="left" vertical="top" wrapText="1"/>
    </xf>
    <xf numFmtId="0" fontId="14" fillId="0" borderId="6" xfId="0" applyFont="1" applyBorder="1" applyAlignment="1">
      <alignment horizontal="left" vertical="top" wrapText="1"/>
    </xf>
    <xf numFmtId="0" fontId="14" fillId="0" borderId="0" xfId="0" applyFont="1" applyAlignment="1">
      <alignment horizontal="left" vertical="top" wrapText="1"/>
    </xf>
    <xf numFmtId="0" fontId="14" fillId="0" borderId="9" xfId="0" applyFont="1" applyBorder="1" applyAlignment="1">
      <alignment horizontal="left" vertical="top"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4" fillId="0" borderId="13"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3:X68"/>
  <sheetViews>
    <sheetView tabSelected="1" view="pageBreakPreview" topLeftCell="D13" zoomScale="25" zoomScaleNormal="10" zoomScaleSheetLayoutView="25" workbookViewId="0">
      <selection activeCell="A60" sqref="A60:N63"/>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0.140625" customWidth="1"/>
    <col min="12" max="12" width="52.28515625" customWidth="1"/>
    <col min="13" max="13" width="73.42578125" customWidth="1"/>
    <col min="14" max="14" width="9" hidden="1" customWidth="1"/>
  </cols>
  <sheetData>
    <row r="3" spans="1:13" ht="15" customHeight="1">
      <c r="D3" s="51"/>
      <c r="E3" s="51"/>
      <c r="F3" s="51"/>
    </row>
    <row r="4" spans="1:13" ht="15" customHeight="1">
      <c r="D4" s="51"/>
      <c r="E4" s="51"/>
      <c r="F4" s="51"/>
    </row>
    <row r="5" spans="1:13" ht="15" customHeight="1">
      <c r="D5" s="51"/>
      <c r="E5" s="51"/>
      <c r="F5" s="51"/>
    </row>
    <row r="6" spans="1:13" ht="15" customHeight="1">
      <c r="D6" s="51"/>
      <c r="E6" s="51"/>
      <c r="F6" s="51"/>
      <c r="J6" s="46"/>
      <c r="K6" s="46"/>
      <c r="L6" s="46"/>
      <c r="M6" s="46"/>
    </row>
    <row r="7" spans="1:13">
      <c r="D7" s="51"/>
      <c r="E7" s="51"/>
      <c r="F7" s="51"/>
      <c r="J7" s="9"/>
      <c r="K7" s="9"/>
      <c r="L7" s="9"/>
      <c r="M7" s="9"/>
    </row>
    <row r="8" spans="1:13" ht="18.75" customHeight="1">
      <c r="A8" s="18"/>
      <c r="B8" s="18"/>
      <c r="C8" s="19"/>
      <c r="D8" s="18"/>
      <c r="E8" s="18"/>
      <c r="F8" s="18"/>
      <c r="G8" s="18"/>
      <c r="H8" s="18"/>
      <c r="I8" s="18"/>
      <c r="J8" s="52"/>
      <c r="K8" s="52"/>
      <c r="L8" s="52"/>
      <c r="M8" s="52"/>
    </row>
    <row r="9" spans="1:13" ht="15" customHeight="1">
      <c r="A9" s="18"/>
      <c r="B9" s="18"/>
      <c r="C9" s="19"/>
      <c r="D9" s="50"/>
      <c r="E9" s="50"/>
      <c r="F9" s="50"/>
      <c r="G9" s="18"/>
      <c r="H9" s="18"/>
      <c r="I9" s="18"/>
      <c r="J9" s="52"/>
      <c r="K9" s="52"/>
      <c r="L9" s="52"/>
      <c r="M9" s="52"/>
    </row>
    <row r="10" spans="1:13">
      <c r="A10" s="18"/>
      <c r="B10" s="18"/>
      <c r="C10" s="19"/>
      <c r="D10" s="18"/>
      <c r="E10" s="18"/>
      <c r="F10" s="18"/>
      <c r="G10" s="18"/>
      <c r="H10" s="18"/>
      <c r="I10" s="18"/>
      <c r="J10" s="18"/>
      <c r="K10" s="18"/>
      <c r="L10" s="18"/>
      <c r="M10" s="18"/>
    </row>
    <row r="11" spans="1:13">
      <c r="A11" s="18"/>
      <c r="B11" s="18"/>
      <c r="C11" s="19"/>
      <c r="D11" s="18"/>
      <c r="E11" s="18"/>
      <c r="F11" s="18"/>
      <c r="G11" s="18"/>
      <c r="H11" s="18"/>
      <c r="I11" s="18"/>
      <c r="J11" s="18"/>
      <c r="K11" s="18"/>
      <c r="L11" s="18"/>
      <c r="M11" s="18"/>
    </row>
    <row r="12" spans="1:13">
      <c r="A12" s="18"/>
      <c r="B12" s="18"/>
      <c r="C12" s="19"/>
      <c r="D12" s="18"/>
      <c r="E12" s="18"/>
      <c r="F12" s="18"/>
      <c r="G12" s="18"/>
      <c r="H12" s="18"/>
      <c r="I12" s="18"/>
      <c r="J12" s="18"/>
      <c r="K12" s="18"/>
      <c r="L12" s="18"/>
      <c r="M12" s="18"/>
    </row>
    <row r="13" spans="1:13" s="1" customFormat="1" ht="89.25">
      <c r="A13" s="47" t="s">
        <v>0</v>
      </c>
      <c r="B13" s="48"/>
      <c r="C13" s="48"/>
      <c r="D13" s="48"/>
      <c r="E13" s="48"/>
      <c r="F13" s="48"/>
      <c r="G13" s="48"/>
      <c r="H13" s="48"/>
      <c r="I13" s="48"/>
      <c r="J13" s="48"/>
      <c r="K13" s="48"/>
      <c r="L13" s="48"/>
      <c r="M13" s="49"/>
    </row>
    <row r="14" spans="1:13" s="1" customFormat="1" ht="89.45" customHeight="1">
      <c r="A14" s="47" t="s">
        <v>1</v>
      </c>
      <c r="B14" s="48"/>
      <c r="C14" s="48"/>
      <c r="D14" s="48"/>
      <c r="E14" s="48"/>
      <c r="F14" s="48"/>
      <c r="G14" s="48"/>
      <c r="H14" s="48"/>
      <c r="I14" s="48"/>
      <c r="J14" s="48"/>
      <c r="K14" s="48"/>
      <c r="L14" s="48"/>
      <c r="M14" s="49"/>
    </row>
    <row r="15" spans="1:13" s="1" customFormat="1" ht="89.45" customHeight="1">
      <c r="A15" s="47" t="s">
        <v>2</v>
      </c>
      <c r="B15" s="48"/>
      <c r="C15" s="48"/>
      <c r="D15" s="48"/>
      <c r="E15" s="48"/>
      <c r="F15" s="48"/>
      <c r="G15" s="48"/>
      <c r="H15" s="48"/>
      <c r="I15" s="48"/>
      <c r="J15" s="48"/>
      <c r="K15" s="48"/>
      <c r="L15" s="48"/>
      <c r="M15" s="49"/>
    </row>
    <row r="16" spans="1:13" s="2" customFormat="1" ht="89.45" customHeight="1">
      <c r="A16" s="47" t="s">
        <v>3</v>
      </c>
      <c r="B16" s="48"/>
      <c r="C16" s="48"/>
      <c r="D16" s="48"/>
      <c r="E16" s="48"/>
      <c r="F16" s="48"/>
      <c r="G16" s="48"/>
      <c r="H16" s="48"/>
      <c r="I16" s="48"/>
      <c r="J16" s="48"/>
      <c r="K16" s="48"/>
      <c r="L16" s="48"/>
      <c r="M16" s="49"/>
    </row>
    <row r="17" spans="1:24" s="2" customFormat="1" ht="89.45" customHeight="1">
      <c r="A17" s="47" t="s">
        <v>4</v>
      </c>
      <c r="B17" s="48"/>
      <c r="C17" s="48"/>
      <c r="D17" s="48"/>
      <c r="E17" s="48"/>
      <c r="F17" s="48"/>
      <c r="G17" s="48"/>
      <c r="H17" s="48"/>
      <c r="I17" s="48"/>
      <c r="J17" s="48"/>
      <c r="K17" s="48"/>
      <c r="L17" s="48"/>
      <c r="M17" s="49"/>
    </row>
    <row r="18" spans="1:24" s="3" customFormat="1" ht="89.45" customHeight="1">
      <c r="A18" s="20"/>
      <c r="B18" s="21"/>
      <c r="C18" s="22"/>
      <c r="D18" s="21"/>
      <c r="E18" s="21" t="s">
        <v>5</v>
      </c>
      <c r="F18" s="21"/>
      <c r="G18" s="21"/>
      <c r="H18" s="21"/>
      <c r="I18" s="21"/>
      <c r="J18" s="21"/>
      <c r="K18" s="21"/>
      <c r="L18" s="21"/>
      <c r="M18" s="23"/>
    </row>
    <row r="19" spans="1:24" s="4" customFormat="1" ht="89.45" customHeight="1" thickBot="1">
      <c r="A19" s="53"/>
      <c r="B19" s="53"/>
      <c r="C19" s="53"/>
      <c r="D19" s="53"/>
      <c r="E19" s="53"/>
      <c r="F19" s="53"/>
      <c r="G19" s="53"/>
      <c r="H19" s="53"/>
      <c r="I19" s="53"/>
      <c r="J19" s="53"/>
      <c r="K19" s="53"/>
      <c r="L19" s="53"/>
      <c r="M19" s="53"/>
    </row>
    <row r="20" spans="1:24" s="4" customFormat="1" ht="89.25" customHeight="1">
      <c r="A20" s="24" t="s">
        <v>6</v>
      </c>
      <c r="B20" s="25"/>
      <c r="C20" s="26"/>
      <c r="D20" s="25"/>
      <c r="E20" s="25"/>
      <c r="F20" s="25"/>
      <c r="G20" s="25"/>
      <c r="H20" s="25"/>
      <c r="I20" s="25"/>
      <c r="J20" s="54" t="s">
        <v>7</v>
      </c>
      <c r="K20" s="54"/>
      <c r="L20" s="44" t="s">
        <v>55</v>
      </c>
      <c r="M20" s="25"/>
    </row>
    <row r="21" spans="1:24" s="4" customFormat="1" ht="89.25">
      <c r="A21" s="27" t="s">
        <v>8</v>
      </c>
      <c r="B21" s="28"/>
      <c r="C21" s="29"/>
      <c r="D21" s="28"/>
      <c r="E21" s="28"/>
      <c r="F21" s="28"/>
      <c r="G21" s="28"/>
      <c r="H21" s="28"/>
      <c r="I21" s="28"/>
      <c r="J21" s="55" t="s">
        <v>9</v>
      </c>
      <c r="K21" s="55"/>
      <c r="L21" s="55">
        <v>20061801</v>
      </c>
      <c r="M21" s="55"/>
      <c r="N21" s="56"/>
    </row>
    <row r="22" spans="1:24" s="4" customFormat="1" ht="89.25">
      <c r="A22" s="27" t="s">
        <v>10</v>
      </c>
      <c r="B22" s="28"/>
      <c r="C22" s="29"/>
      <c r="D22" s="28"/>
      <c r="E22" s="28"/>
      <c r="F22" s="28"/>
      <c r="G22" s="28"/>
      <c r="H22" s="28"/>
      <c r="I22" s="28"/>
      <c r="J22" s="55" t="s">
        <v>11</v>
      </c>
      <c r="K22" s="55"/>
      <c r="L22" s="55" t="s">
        <v>12</v>
      </c>
      <c r="M22" s="55"/>
      <c r="N22" s="56"/>
    </row>
    <row r="23" spans="1:24" s="4" customFormat="1" ht="89.25">
      <c r="A23" s="27" t="s">
        <v>13</v>
      </c>
      <c r="B23" s="28"/>
      <c r="C23" s="29"/>
      <c r="D23" s="28"/>
      <c r="E23" s="28"/>
      <c r="F23" s="28"/>
      <c r="G23" s="28"/>
      <c r="H23" s="28"/>
      <c r="I23" s="28"/>
      <c r="J23" s="28" t="s">
        <v>14</v>
      </c>
      <c r="K23" s="28"/>
      <c r="L23" s="45" t="s">
        <v>56</v>
      </c>
      <c r="M23" s="30"/>
    </row>
    <row r="24" spans="1:24" s="3" customFormat="1" ht="89.25">
      <c r="A24" s="27" t="s">
        <v>15</v>
      </c>
      <c r="B24" s="28"/>
      <c r="C24" s="29"/>
      <c r="D24" s="28"/>
      <c r="E24" s="28"/>
      <c r="F24" s="28"/>
      <c r="G24" s="28"/>
      <c r="H24" s="28"/>
      <c r="I24" s="28"/>
      <c r="J24" s="55" t="s">
        <v>16</v>
      </c>
      <c r="K24" s="55"/>
      <c r="L24" s="55" t="s">
        <v>39</v>
      </c>
      <c r="M24" s="55"/>
      <c r="N24" s="56"/>
    </row>
    <row r="25" spans="1:24" s="3" customFormat="1" ht="89.25" customHeight="1">
      <c r="A25" s="31"/>
      <c r="B25" s="32"/>
      <c r="C25" s="33"/>
      <c r="D25" s="32"/>
      <c r="E25" s="32"/>
      <c r="F25" s="32"/>
      <c r="G25" s="32"/>
      <c r="H25" s="32"/>
      <c r="I25" s="32"/>
      <c r="J25" s="55" t="s">
        <v>17</v>
      </c>
      <c r="K25" s="55"/>
      <c r="L25" s="57" t="s">
        <v>55</v>
      </c>
      <c r="M25" s="57"/>
      <c r="N25" s="58"/>
    </row>
    <row r="26" spans="1:24" s="3" customFormat="1" ht="88.9" customHeight="1">
      <c r="A26" s="31"/>
      <c r="B26" s="32"/>
      <c r="C26" s="33"/>
      <c r="D26" s="32"/>
      <c r="E26" s="32"/>
      <c r="F26" s="32"/>
      <c r="G26" s="32"/>
      <c r="H26" s="32"/>
      <c r="I26" s="32"/>
      <c r="J26" s="28" t="s">
        <v>18</v>
      </c>
      <c r="K26" s="28"/>
      <c r="L26" s="28">
        <v>996791</v>
      </c>
      <c r="M26" s="34"/>
    </row>
    <row r="27" spans="1:24" s="5" customFormat="1" ht="104.25" customHeight="1">
      <c r="A27" s="31"/>
      <c r="B27" s="32"/>
      <c r="C27" s="33"/>
      <c r="D27" s="32"/>
      <c r="E27" s="32"/>
      <c r="F27" s="32"/>
      <c r="G27" s="32"/>
      <c r="H27" s="32"/>
      <c r="I27" s="32"/>
      <c r="J27" s="32"/>
      <c r="K27" s="35"/>
      <c r="L27" s="35"/>
      <c r="M27" s="36"/>
    </row>
    <row r="28" spans="1:24" s="6" customFormat="1" ht="174" customHeight="1">
      <c r="A28" s="10" t="s">
        <v>19</v>
      </c>
      <c r="B28" s="10" t="s">
        <v>20</v>
      </c>
      <c r="C28" s="10" t="s">
        <v>21</v>
      </c>
      <c r="D28" s="10" t="s">
        <v>22</v>
      </c>
      <c r="E28" s="10" t="s">
        <v>23</v>
      </c>
      <c r="F28" s="10" t="s">
        <v>24</v>
      </c>
      <c r="G28" s="10" t="s">
        <v>25</v>
      </c>
      <c r="H28" s="10" t="s">
        <v>36</v>
      </c>
      <c r="I28" s="10" t="s">
        <v>26</v>
      </c>
      <c r="J28" s="10" t="s">
        <v>27</v>
      </c>
      <c r="K28" s="10" t="s">
        <v>28</v>
      </c>
      <c r="L28" s="10" t="s">
        <v>29</v>
      </c>
      <c r="M28" s="10" t="s">
        <v>30</v>
      </c>
    </row>
    <row r="29" spans="1:24" s="2" customFormat="1" ht="92.25">
      <c r="A29" s="41">
        <v>1</v>
      </c>
      <c r="B29" s="42">
        <v>45630</v>
      </c>
      <c r="C29" s="41" t="s">
        <v>57</v>
      </c>
      <c r="D29" s="41" t="s">
        <v>41</v>
      </c>
      <c r="E29" s="41" t="s">
        <v>58</v>
      </c>
      <c r="F29" s="41" t="s">
        <v>59</v>
      </c>
      <c r="G29" s="41" t="s">
        <v>37</v>
      </c>
      <c r="H29" s="41">
        <v>2673</v>
      </c>
      <c r="I29" s="41" t="s">
        <v>60</v>
      </c>
      <c r="J29" s="43" t="s">
        <v>38</v>
      </c>
      <c r="K29" s="41">
        <v>36.25</v>
      </c>
      <c r="L29" s="41">
        <f>M29/K29</f>
        <v>1340</v>
      </c>
      <c r="M29" s="41">
        <v>48575</v>
      </c>
      <c r="N29" s="15"/>
      <c r="O29" s="1"/>
      <c r="P29" s="1"/>
      <c r="Q29" s="1"/>
      <c r="R29" s="1"/>
      <c r="S29" s="1"/>
      <c r="T29" s="1"/>
      <c r="U29" s="1"/>
      <c r="V29" s="1"/>
      <c r="W29" s="1"/>
      <c r="X29" s="1"/>
    </row>
    <row r="30" spans="1:24" s="2" customFormat="1" ht="92.25">
      <c r="A30" s="41">
        <v>2</v>
      </c>
      <c r="B30" s="42">
        <v>45632</v>
      </c>
      <c r="C30" s="41" t="s">
        <v>61</v>
      </c>
      <c r="D30" s="41" t="s">
        <v>40</v>
      </c>
      <c r="E30" s="41" t="s">
        <v>62</v>
      </c>
      <c r="F30" s="41" t="s">
        <v>63</v>
      </c>
      <c r="G30" s="41" t="s">
        <v>37</v>
      </c>
      <c r="H30" s="41">
        <v>2696</v>
      </c>
      <c r="I30" s="41" t="s">
        <v>64</v>
      </c>
      <c r="J30" s="43" t="s">
        <v>38</v>
      </c>
      <c r="K30" s="41">
        <v>36.450000000000003</v>
      </c>
      <c r="L30" s="41">
        <f t="shared" ref="L30:L54" si="0">M30/K30</f>
        <v>1362.9999999999998</v>
      </c>
      <c r="M30" s="41">
        <v>49681.35</v>
      </c>
      <c r="N30" s="15"/>
      <c r="O30" s="1"/>
      <c r="P30" s="1"/>
      <c r="Q30" s="1"/>
      <c r="R30" s="1"/>
      <c r="S30" s="1"/>
      <c r="T30" s="1"/>
      <c r="U30" s="1"/>
      <c r="V30" s="1"/>
      <c r="W30" s="1"/>
      <c r="X30" s="1"/>
    </row>
    <row r="31" spans="1:24" s="2" customFormat="1" ht="92.25">
      <c r="A31" s="41">
        <v>3</v>
      </c>
      <c r="B31" s="42">
        <v>45634</v>
      </c>
      <c r="C31" s="41" t="s">
        <v>65</v>
      </c>
      <c r="D31" s="41" t="s">
        <v>40</v>
      </c>
      <c r="E31" s="41" t="s">
        <v>66</v>
      </c>
      <c r="F31" s="41" t="s">
        <v>67</v>
      </c>
      <c r="G31" s="41" t="s">
        <v>37</v>
      </c>
      <c r="H31" s="41">
        <v>2926</v>
      </c>
      <c r="I31" s="41" t="s">
        <v>68</v>
      </c>
      <c r="J31" s="43" t="s">
        <v>38</v>
      </c>
      <c r="K31" s="41">
        <v>35.130000000000003</v>
      </c>
      <c r="L31" s="41">
        <f t="shared" si="0"/>
        <v>1363</v>
      </c>
      <c r="M31" s="41">
        <v>47882.19</v>
      </c>
      <c r="N31" s="15"/>
      <c r="O31" s="1"/>
      <c r="P31" s="1"/>
      <c r="Q31" s="1"/>
      <c r="R31" s="1"/>
      <c r="S31" s="1"/>
      <c r="T31" s="1"/>
      <c r="U31" s="1"/>
      <c r="V31" s="1"/>
      <c r="W31" s="1"/>
      <c r="X31" s="1"/>
    </row>
    <row r="32" spans="1:24" s="2" customFormat="1" ht="92.25">
      <c r="A32" s="41">
        <v>4</v>
      </c>
      <c r="B32" s="42">
        <v>45634</v>
      </c>
      <c r="C32" s="41" t="s">
        <v>69</v>
      </c>
      <c r="D32" s="41" t="s">
        <v>41</v>
      </c>
      <c r="E32" s="41" t="s">
        <v>70</v>
      </c>
      <c r="F32" s="41" t="s">
        <v>71</v>
      </c>
      <c r="G32" s="41" t="s">
        <v>37</v>
      </c>
      <c r="H32" s="41">
        <v>2920</v>
      </c>
      <c r="I32" s="41" t="s">
        <v>72</v>
      </c>
      <c r="J32" s="43" t="s">
        <v>38</v>
      </c>
      <c r="K32" s="41">
        <v>37.24</v>
      </c>
      <c r="L32" s="41">
        <f t="shared" si="0"/>
        <v>1340</v>
      </c>
      <c r="M32" s="41">
        <v>49901.599999999999</v>
      </c>
      <c r="N32" s="15"/>
      <c r="O32" s="1"/>
      <c r="P32" s="1"/>
      <c r="Q32" s="1"/>
      <c r="R32" s="1"/>
      <c r="S32" s="1"/>
      <c r="T32" s="1"/>
      <c r="U32" s="1"/>
      <c r="V32" s="1"/>
      <c r="W32" s="1"/>
      <c r="X32" s="1"/>
    </row>
    <row r="33" spans="1:24" s="2" customFormat="1" ht="92.25">
      <c r="A33" s="41">
        <v>5</v>
      </c>
      <c r="B33" s="42">
        <v>45635</v>
      </c>
      <c r="C33" s="41" t="s">
        <v>73</v>
      </c>
      <c r="D33" s="41" t="s">
        <v>40</v>
      </c>
      <c r="E33" s="41" t="s">
        <v>74</v>
      </c>
      <c r="F33" s="41" t="s">
        <v>75</v>
      </c>
      <c r="G33" s="41" t="s">
        <v>37</v>
      </c>
      <c r="H33" s="41">
        <v>2930</v>
      </c>
      <c r="I33" s="41" t="s">
        <v>76</v>
      </c>
      <c r="J33" s="43" t="s">
        <v>38</v>
      </c>
      <c r="K33" s="41">
        <v>36.83</v>
      </c>
      <c r="L33" s="41">
        <f t="shared" si="0"/>
        <v>1363</v>
      </c>
      <c r="M33" s="41">
        <v>50199.29</v>
      </c>
      <c r="N33" s="15"/>
      <c r="O33" s="1"/>
      <c r="P33" s="1"/>
      <c r="Q33" s="1"/>
      <c r="R33" s="1"/>
      <c r="S33" s="1"/>
      <c r="T33" s="1"/>
      <c r="U33" s="1"/>
      <c r="V33" s="1"/>
      <c r="W33" s="1"/>
      <c r="X33" s="1"/>
    </row>
    <row r="34" spans="1:24" s="2" customFormat="1" ht="92.25">
      <c r="A34" s="41">
        <v>6</v>
      </c>
      <c r="B34" s="42">
        <v>45636</v>
      </c>
      <c r="C34" s="41" t="s">
        <v>44</v>
      </c>
      <c r="D34" s="41" t="s">
        <v>45</v>
      </c>
      <c r="E34" s="41" t="s">
        <v>77</v>
      </c>
      <c r="F34" s="41" t="s">
        <v>78</v>
      </c>
      <c r="G34" s="41" t="s">
        <v>37</v>
      </c>
      <c r="H34" s="41">
        <v>2708</v>
      </c>
      <c r="I34" s="41" t="s">
        <v>79</v>
      </c>
      <c r="J34" s="43" t="s">
        <v>38</v>
      </c>
      <c r="K34" s="41">
        <v>35.79</v>
      </c>
      <c r="L34" s="41">
        <f t="shared" si="0"/>
        <v>1353</v>
      </c>
      <c r="M34" s="41">
        <v>48423.87</v>
      </c>
      <c r="N34" s="15"/>
      <c r="O34" s="1"/>
      <c r="P34" s="1"/>
      <c r="Q34" s="1"/>
      <c r="R34" s="1"/>
      <c r="S34" s="1"/>
      <c r="T34" s="1"/>
      <c r="U34" s="1"/>
      <c r="V34" s="1"/>
      <c r="W34" s="1"/>
      <c r="X34" s="1"/>
    </row>
    <row r="35" spans="1:24" s="2" customFormat="1" ht="92.25">
      <c r="A35" s="41">
        <v>7</v>
      </c>
      <c r="B35" s="42">
        <v>45636</v>
      </c>
      <c r="C35" s="41" t="s">
        <v>46</v>
      </c>
      <c r="D35" s="41" t="s">
        <v>41</v>
      </c>
      <c r="E35" s="41" t="s">
        <v>80</v>
      </c>
      <c r="F35" s="41" t="s">
        <v>81</v>
      </c>
      <c r="G35" s="41" t="s">
        <v>37</v>
      </c>
      <c r="H35" s="41">
        <v>2705</v>
      </c>
      <c r="I35" s="41" t="s">
        <v>82</v>
      </c>
      <c r="J35" s="43" t="s">
        <v>38</v>
      </c>
      <c r="K35" s="41">
        <v>35.82</v>
      </c>
      <c r="L35" s="41">
        <f t="shared" si="0"/>
        <v>1340</v>
      </c>
      <c r="M35" s="41">
        <v>47998.8</v>
      </c>
      <c r="N35" s="15"/>
      <c r="O35" s="1"/>
      <c r="P35" s="1"/>
      <c r="Q35" s="1"/>
      <c r="R35" s="1"/>
      <c r="S35" s="1"/>
      <c r="T35" s="1"/>
      <c r="U35" s="1"/>
      <c r="V35" s="1"/>
      <c r="W35" s="1"/>
      <c r="X35" s="1"/>
    </row>
    <row r="36" spans="1:24" s="2" customFormat="1" ht="92.25">
      <c r="A36" s="41">
        <v>8</v>
      </c>
      <c r="B36" s="42">
        <v>45637</v>
      </c>
      <c r="C36" s="41" t="s">
        <v>83</v>
      </c>
      <c r="D36" s="41" t="s">
        <v>40</v>
      </c>
      <c r="E36" s="41" t="s">
        <v>84</v>
      </c>
      <c r="F36" s="41" t="s">
        <v>85</v>
      </c>
      <c r="G36" s="41" t="s">
        <v>37</v>
      </c>
      <c r="H36" s="41">
        <v>2717</v>
      </c>
      <c r="I36" s="41" t="s">
        <v>86</v>
      </c>
      <c r="J36" s="43" t="s">
        <v>38</v>
      </c>
      <c r="K36" s="41">
        <v>36.24</v>
      </c>
      <c r="L36" s="41">
        <f t="shared" si="0"/>
        <v>1363</v>
      </c>
      <c r="M36" s="41">
        <v>49395.12</v>
      </c>
      <c r="N36" s="15"/>
      <c r="O36" s="1"/>
      <c r="P36" s="1"/>
      <c r="Q36" s="1"/>
      <c r="R36" s="1"/>
      <c r="S36" s="1"/>
      <c r="T36" s="1"/>
      <c r="U36" s="1"/>
      <c r="V36" s="1"/>
      <c r="W36" s="1"/>
      <c r="X36" s="1"/>
    </row>
    <row r="37" spans="1:24" s="2" customFormat="1" ht="92.25">
      <c r="A37" s="41">
        <v>9</v>
      </c>
      <c r="B37" s="42">
        <v>1</v>
      </c>
      <c r="C37" s="41" t="s">
        <v>87</v>
      </c>
      <c r="D37" s="41" t="s">
        <v>41</v>
      </c>
      <c r="E37" s="41" t="s">
        <v>88</v>
      </c>
      <c r="F37" s="41" t="s">
        <v>89</v>
      </c>
      <c r="G37" s="41" t="s">
        <v>37</v>
      </c>
      <c r="H37" s="41">
        <v>2719</v>
      </c>
      <c r="I37" s="41" t="s">
        <v>90</v>
      </c>
      <c r="J37" s="43" t="s">
        <v>38</v>
      </c>
      <c r="K37" s="41">
        <v>36.69</v>
      </c>
      <c r="L37" s="41">
        <f t="shared" si="0"/>
        <v>1340</v>
      </c>
      <c r="M37" s="41">
        <v>49164.6</v>
      </c>
      <c r="N37" s="15"/>
      <c r="O37" s="1"/>
      <c r="P37" s="1"/>
      <c r="Q37" s="1"/>
      <c r="R37" s="1"/>
      <c r="S37" s="1"/>
      <c r="T37" s="1"/>
      <c r="U37" s="1"/>
      <c r="V37" s="1"/>
      <c r="W37" s="1"/>
      <c r="X37" s="1"/>
    </row>
    <row r="38" spans="1:24" s="2" customFormat="1" ht="92.25">
      <c r="A38" s="41">
        <v>10</v>
      </c>
      <c r="B38" s="42">
        <v>45639</v>
      </c>
      <c r="C38" s="41" t="s">
        <v>44</v>
      </c>
      <c r="D38" s="41" t="s">
        <v>45</v>
      </c>
      <c r="E38" s="41" t="s">
        <v>91</v>
      </c>
      <c r="F38" s="41" t="s">
        <v>63</v>
      </c>
      <c r="G38" s="41" t="s">
        <v>37</v>
      </c>
      <c r="H38" s="41">
        <v>2730</v>
      </c>
      <c r="I38" s="41" t="s">
        <v>92</v>
      </c>
      <c r="J38" s="43" t="s">
        <v>38</v>
      </c>
      <c r="K38" s="41">
        <v>36.24</v>
      </c>
      <c r="L38" s="41">
        <f t="shared" si="0"/>
        <v>1353</v>
      </c>
      <c r="M38" s="41">
        <v>49032.72</v>
      </c>
      <c r="N38" s="15"/>
      <c r="O38" s="1"/>
      <c r="P38" s="1"/>
      <c r="Q38" s="1"/>
      <c r="R38" s="1"/>
      <c r="S38" s="1"/>
      <c r="T38" s="1"/>
      <c r="U38" s="1"/>
      <c r="V38" s="1"/>
      <c r="W38" s="1"/>
      <c r="X38" s="1"/>
    </row>
    <row r="39" spans="1:24" s="2" customFormat="1" ht="92.25">
      <c r="A39" s="41">
        <v>11</v>
      </c>
      <c r="B39" s="42">
        <v>45638</v>
      </c>
      <c r="C39" s="41" t="s">
        <v>49</v>
      </c>
      <c r="D39" s="41" t="s">
        <v>40</v>
      </c>
      <c r="E39" s="41" t="s">
        <v>93</v>
      </c>
      <c r="F39" s="41" t="s">
        <v>94</v>
      </c>
      <c r="G39" s="41" t="s">
        <v>37</v>
      </c>
      <c r="H39" s="41">
        <v>2723</v>
      </c>
      <c r="I39" s="41" t="s">
        <v>95</v>
      </c>
      <c r="J39" s="43" t="s">
        <v>38</v>
      </c>
      <c r="K39" s="41">
        <v>36.33</v>
      </c>
      <c r="L39" s="41">
        <f t="shared" si="0"/>
        <v>1363</v>
      </c>
      <c r="M39" s="41">
        <v>49517.79</v>
      </c>
      <c r="N39" s="15"/>
      <c r="O39" s="1"/>
      <c r="P39" s="1"/>
      <c r="Q39" s="1"/>
      <c r="R39" s="1"/>
      <c r="S39" s="1"/>
      <c r="T39" s="1"/>
      <c r="U39" s="1"/>
      <c r="V39" s="1"/>
      <c r="W39" s="1"/>
      <c r="X39" s="1"/>
    </row>
    <row r="40" spans="1:24" s="2" customFormat="1" ht="92.25">
      <c r="A40" s="41">
        <v>12</v>
      </c>
      <c r="B40" s="42">
        <v>45638</v>
      </c>
      <c r="C40" s="41" t="s">
        <v>96</v>
      </c>
      <c r="D40" s="41" t="s">
        <v>40</v>
      </c>
      <c r="E40" s="41" t="s">
        <v>97</v>
      </c>
      <c r="F40" s="41" t="s">
        <v>50</v>
      </c>
      <c r="G40" s="41" t="s">
        <v>37</v>
      </c>
      <c r="H40" s="41">
        <v>2727</v>
      </c>
      <c r="I40" s="41" t="s">
        <v>98</v>
      </c>
      <c r="J40" s="43" t="s">
        <v>38</v>
      </c>
      <c r="K40" s="41">
        <v>36.46</v>
      </c>
      <c r="L40" s="41">
        <f t="shared" si="0"/>
        <v>1363</v>
      </c>
      <c r="M40" s="41">
        <v>49694.98</v>
      </c>
      <c r="N40" s="15"/>
      <c r="O40" s="1"/>
      <c r="P40" s="1"/>
      <c r="Q40" s="1"/>
      <c r="R40" s="1"/>
      <c r="S40" s="1"/>
      <c r="T40" s="1"/>
      <c r="U40" s="1"/>
      <c r="V40" s="1"/>
      <c r="W40" s="1"/>
      <c r="X40" s="1"/>
    </row>
    <row r="41" spans="1:24" s="2" customFormat="1" ht="92.25">
      <c r="A41" s="41">
        <v>13</v>
      </c>
      <c r="B41" s="42">
        <v>45638</v>
      </c>
      <c r="C41" s="41" t="s">
        <v>51</v>
      </c>
      <c r="D41" s="41" t="s">
        <v>43</v>
      </c>
      <c r="E41" s="41" t="s">
        <v>99</v>
      </c>
      <c r="F41" s="41" t="s">
        <v>100</v>
      </c>
      <c r="G41" s="41" t="s">
        <v>37</v>
      </c>
      <c r="H41" s="41">
        <v>2726</v>
      </c>
      <c r="I41" s="41" t="s">
        <v>101</v>
      </c>
      <c r="J41" s="43" t="s">
        <v>38</v>
      </c>
      <c r="K41" s="41">
        <v>36.299999999999997</v>
      </c>
      <c r="L41" s="41">
        <f t="shared" si="0"/>
        <v>1357</v>
      </c>
      <c r="M41" s="41">
        <v>49259.1</v>
      </c>
      <c r="N41" s="15"/>
      <c r="O41" s="1"/>
      <c r="P41" s="1"/>
      <c r="Q41" s="1"/>
      <c r="R41" s="1"/>
      <c r="S41" s="1"/>
      <c r="T41" s="1"/>
      <c r="U41" s="1"/>
      <c r="V41" s="1"/>
      <c r="W41" s="1"/>
      <c r="X41" s="1"/>
    </row>
    <row r="42" spans="1:24" s="2" customFormat="1" ht="92.25">
      <c r="A42" s="41">
        <v>14</v>
      </c>
      <c r="B42" s="42">
        <v>45638</v>
      </c>
      <c r="C42" s="41" t="s">
        <v>102</v>
      </c>
      <c r="D42" s="41" t="s">
        <v>41</v>
      </c>
      <c r="E42" s="41" t="s">
        <v>103</v>
      </c>
      <c r="F42" s="41" t="s">
        <v>54</v>
      </c>
      <c r="G42" s="41" t="s">
        <v>37</v>
      </c>
      <c r="H42" s="41">
        <v>2725</v>
      </c>
      <c r="I42" s="41" t="s">
        <v>104</v>
      </c>
      <c r="J42" s="43" t="s">
        <v>38</v>
      </c>
      <c r="K42" s="41">
        <v>36.14</v>
      </c>
      <c r="L42" s="41">
        <f t="shared" si="0"/>
        <v>1340</v>
      </c>
      <c r="M42" s="41">
        <v>48427.6</v>
      </c>
      <c r="N42" s="15"/>
      <c r="O42" s="1"/>
      <c r="P42" s="1"/>
      <c r="Q42" s="1"/>
      <c r="R42" s="1"/>
      <c r="S42" s="1"/>
      <c r="T42" s="1"/>
      <c r="U42" s="1"/>
      <c r="V42" s="1"/>
      <c r="W42" s="1"/>
      <c r="X42" s="1"/>
    </row>
    <row r="43" spans="1:24" s="2" customFormat="1" ht="92.25">
      <c r="A43" s="41">
        <v>15</v>
      </c>
      <c r="B43" s="42">
        <v>45638</v>
      </c>
      <c r="C43" s="41" t="s">
        <v>105</v>
      </c>
      <c r="D43" s="41" t="s">
        <v>40</v>
      </c>
      <c r="E43" s="41" t="s">
        <v>106</v>
      </c>
      <c r="F43" s="41" t="s">
        <v>107</v>
      </c>
      <c r="G43" s="41" t="s">
        <v>37</v>
      </c>
      <c r="H43" s="41">
        <v>2000</v>
      </c>
      <c r="I43" s="41" t="s">
        <v>108</v>
      </c>
      <c r="J43" s="43" t="s">
        <v>38</v>
      </c>
      <c r="K43" s="41">
        <v>33.950000000000003</v>
      </c>
      <c r="L43" s="41">
        <f t="shared" si="0"/>
        <v>1362.9999999999998</v>
      </c>
      <c r="M43" s="41">
        <v>46273.85</v>
      </c>
      <c r="N43" s="15"/>
      <c r="O43" s="1"/>
      <c r="P43" s="1"/>
      <c r="Q43" s="1"/>
      <c r="R43" s="1"/>
      <c r="S43" s="1"/>
      <c r="T43" s="1"/>
      <c r="U43" s="1"/>
      <c r="V43" s="1"/>
      <c r="W43" s="1"/>
      <c r="X43" s="1"/>
    </row>
    <row r="44" spans="1:24" s="2" customFormat="1" ht="92.25">
      <c r="A44" s="41">
        <v>16</v>
      </c>
      <c r="B44" s="42">
        <v>45639</v>
      </c>
      <c r="C44" s="41" t="s">
        <v>109</v>
      </c>
      <c r="D44" s="41" t="s">
        <v>43</v>
      </c>
      <c r="E44" s="41" t="s">
        <v>110</v>
      </c>
      <c r="F44" s="41" t="s">
        <v>111</v>
      </c>
      <c r="G44" s="41" t="s">
        <v>37</v>
      </c>
      <c r="H44" s="41">
        <v>2735</v>
      </c>
      <c r="I44" s="41" t="s">
        <v>112</v>
      </c>
      <c r="J44" s="43" t="s">
        <v>38</v>
      </c>
      <c r="K44" s="41">
        <v>36.520000000000003</v>
      </c>
      <c r="L44" s="41">
        <f t="shared" si="0"/>
        <v>1356.9999999999998</v>
      </c>
      <c r="M44" s="41">
        <v>49557.64</v>
      </c>
      <c r="N44" s="15"/>
      <c r="O44" s="1"/>
      <c r="P44" s="1"/>
      <c r="Q44" s="1"/>
      <c r="R44" s="1"/>
      <c r="S44" s="1"/>
      <c r="T44" s="1"/>
      <c r="U44" s="1"/>
      <c r="V44" s="1"/>
      <c r="W44" s="1"/>
      <c r="X44" s="1"/>
    </row>
    <row r="45" spans="1:24" s="2" customFormat="1" ht="92.25">
      <c r="A45" s="41">
        <v>17</v>
      </c>
      <c r="B45" s="42">
        <v>45639</v>
      </c>
      <c r="C45" s="41" t="s">
        <v>113</v>
      </c>
      <c r="D45" s="41" t="s">
        <v>41</v>
      </c>
      <c r="E45" s="41" t="s">
        <v>114</v>
      </c>
      <c r="F45" s="41" t="s">
        <v>115</v>
      </c>
      <c r="G45" s="41" t="s">
        <v>37</v>
      </c>
      <c r="H45" s="41">
        <v>2739</v>
      </c>
      <c r="I45" s="41" t="s">
        <v>116</v>
      </c>
      <c r="J45" s="43" t="s">
        <v>38</v>
      </c>
      <c r="K45" s="41">
        <v>35.92</v>
      </c>
      <c r="L45" s="41">
        <f t="shared" si="0"/>
        <v>1340</v>
      </c>
      <c r="M45" s="41">
        <v>48132.800000000003</v>
      </c>
      <c r="N45" s="15"/>
      <c r="O45" s="1"/>
      <c r="P45" s="1"/>
      <c r="Q45" s="1"/>
      <c r="R45" s="1"/>
      <c r="S45" s="1"/>
      <c r="T45" s="1"/>
      <c r="U45" s="1"/>
      <c r="V45" s="1"/>
      <c r="W45" s="1"/>
      <c r="X45" s="1"/>
    </row>
    <row r="46" spans="1:24" s="2" customFormat="1" ht="92.25">
      <c r="A46" s="41">
        <v>18</v>
      </c>
      <c r="B46" s="42">
        <v>45639</v>
      </c>
      <c r="C46" s="41" t="s">
        <v>117</v>
      </c>
      <c r="D46" s="41" t="s">
        <v>41</v>
      </c>
      <c r="E46" s="41" t="s">
        <v>118</v>
      </c>
      <c r="F46" s="41" t="s">
        <v>52</v>
      </c>
      <c r="G46" s="41" t="s">
        <v>37</v>
      </c>
      <c r="H46" s="41">
        <v>2733</v>
      </c>
      <c r="I46" s="41" t="s">
        <v>119</v>
      </c>
      <c r="J46" s="43" t="s">
        <v>38</v>
      </c>
      <c r="K46" s="41">
        <v>36.619999999999997</v>
      </c>
      <c r="L46" s="41">
        <f t="shared" si="0"/>
        <v>1340.0000000000002</v>
      </c>
      <c r="M46" s="41">
        <v>49070.8</v>
      </c>
      <c r="N46" s="15"/>
      <c r="O46" s="1"/>
      <c r="P46" s="1"/>
      <c r="Q46" s="1"/>
      <c r="R46" s="1"/>
      <c r="S46" s="1"/>
      <c r="T46" s="1"/>
      <c r="U46" s="1"/>
      <c r="V46" s="1"/>
      <c r="W46" s="1"/>
      <c r="X46" s="1"/>
    </row>
    <row r="47" spans="1:24" s="2" customFormat="1" ht="92.25">
      <c r="A47" s="41">
        <v>19</v>
      </c>
      <c r="B47" s="42">
        <v>45639</v>
      </c>
      <c r="C47" s="41" t="s">
        <v>96</v>
      </c>
      <c r="D47" s="41" t="s">
        <v>40</v>
      </c>
      <c r="E47" s="41" t="s">
        <v>120</v>
      </c>
      <c r="F47" s="41" t="s">
        <v>81</v>
      </c>
      <c r="G47" s="41" t="s">
        <v>37</v>
      </c>
      <c r="H47" s="41">
        <v>2740</v>
      </c>
      <c r="I47" s="41" t="s">
        <v>121</v>
      </c>
      <c r="J47" s="43" t="s">
        <v>38</v>
      </c>
      <c r="K47" s="41">
        <v>35.119999999999997</v>
      </c>
      <c r="L47" s="41">
        <f t="shared" si="0"/>
        <v>1363</v>
      </c>
      <c r="M47" s="41">
        <v>47868.56</v>
      </c>
      <c r="N47" s="15"/>
      <c r="O47" s="1"/>
      <c r="P47" s="1"/>
      <c r="Q47" s="1"/>
      <c r="R47" s="1"/>
      <c r="S47" s="1"/>
      <c r="T47" s="1"/>
      <c r="U47" s="1"/>
      <c r="V47" s="1"/>
      <c r="W47" s="1"/>
      <c r="X47" s="1"/>
    </row>
    <row r="48" spans="1:24" s="2" customFormat="1" ht="92.25">
      <c r="A48" s="41">
        <v>20</v>
      </c>
      <c r="B48" s="42">
        <v>45639</v>
      </c>
      <c r="C48" s="41" t="s">
        <v>42</v>
      </c>
      <c r="D48" s="41" t="s">
        <v>41</v>
      </c>
      <c r="E48" s="41" t="s">
        <v>122</v>
      </c>
      <c r="F48" s="41" t="s">
        <v>123</v>
      </c>
      <c r="G48" s="41" t="s">
        <v>37</v>
      </c>
      <c r="H48" s="41">
        <v>2743</v>
      </c>
      <c r="I48" s="41" t="s">
        <v>124</v>
      </c>
      <c r="J48" s="43" t="s">
        <v>38</v>
      </c>
      <c r="K48" s="41">
        <v>35.76</v>
      </c>
      <c r="L48" s="41">
        <f t="shared" si="0"/>
        <v>1340.0000000000002</v>
      </c>
      <c r="M48" s="41">
        <v>47918.400000000001</v>
      </c>
      <c r="N48" s="15"/>
      <c r="O48" s="1"/>
      <c r="P48" s="1"/>
      <c r="Q48" s="1"/>
      <c r="R48" s="1"/>
      <c r="S48" s="1"/>
      <c r="T48" s="1"/>
      <c r="U48" s="1"/>
      <c r="V48" s="1"/>
      <c r="W48" s="1"/>
      <c r="X48" s="1"/>
    </row>
    <row r="49" spans="1:24" s="2" customFormat="1" ht="92.25">
      <c r="A49" s="41">
        <v>21</v>
      </c>
      <c r="B49" s="42">
        <v>45640</v>
      </c>
      <c r="C49" s="41" t="s">
        <v>125</v>
      </c>
      <c r="D49" s="41" t="s">
        <v>41</v>
      </c>
      <c r="E49" s="41" t="s">
        <v>126</v>
      </c>
      <c r="F49" s="41" t="s">
        <v>127</v>
      </c>
      <c r="G49" s="41" t="s">
        <v>37</v>
      </c>
      <c r="H49" s="41">
        <v>4307</v>
      </c>
      <c r="I49" s="41" t="s">
        <v>128</v>
      </c>
      <c r="J49" s="43" t="s">
        <v>38</v>
      </c>
      <c r="K49" s="41">
        <v>36.53</v>
      </c>
      <c r="L49" s="41">
        <f t="shared" si="0"/>
        <v>1339.9999999999998</v>
      </c>
      <c r="M49" s="41">
        <v>48950.2</v>
      </c>
      <c r="N49" s="15"/>
      <c r="O49" s="1"/>
      <c r="P49" s="1"/>
      <c r="Q49" s="1"/>
      <c r="R49" s="1"/>
      <c r="S49" s="1"/>
      <c r="T49" s="1"/>
      <c r="U49" s="1"/>
      <c r="V49" s="1"/>
      <c r="W49" s="1"/>
      <c r="X49" s="1"/>
    </row>
    <row r="50" spans="1:24" s="2" customFormat="1" ht="92.25">
      <c r="A50" s="41">
        <v>22</v>
      </c>
      <c r="B50" s="42">
        <v>45640</v>
      </c>
      <c r="C50" s="41" t="s">
        <v>129</v>
      </c>
      <c r="D50" s="41" t="s">
        <v>130</v>
      </c>
      <c r="E50" s="41" t="s">
        <v>131</v>
      </c>
      <c r="F50" s="41" t="s">
        <v>53</v>
      </c>
      <c r="G50" s="41" t="s">
        <v>37</v>
      </c>
      <c r="H50" s="41">
        <v>4304</v>
      </c>
      <c r="I50" s="41" t="s">
        <v>132</v>
      </c>
      <c r="J50" s="43" t="s">
        <v>38</v>
      </c>
      <c r="K50" s="41">
        <v>36.46</v>
      </c>
      <c r="L50" s="41">
        <f t="shared" si="0"/>
        <v>1383</v>
      </c>
      <c r="M50" s="41">
        <v>50424.18</v>
      </c>
      <c r="N50" s="15"/>
      <c r="O50" s="1"/>
      <c r="P50" s="1"/>
      <c r="Q50" s="1"/>
      <c r="R50" s="1"/>
      <c r="S50" s="1"/>
      <c r="T50" s="1"/>
      <c r="U50" s="1"/>
      <c r="V50" s="1"/>
      <c r="W50" s="1"/>
      <c r="X50" s="1"/>
    </row>
    <row r="51" spans="1:24" s="2" customFormat="1" ht="92.25">
      <c r="A51" s="41">
        <v>23</v>
      </c>
      <c r="B51" s="42">
        <v>45640</v>
      </c>
      <c r="C51" s="41" t="s">
        <v>47</v>
      </c>
      <c r="D51" s="41" t="s">
        <v>40</v>
      </c>
      <c r="E51" s="41" t="s">
        <v>133</v>
      </c>
      <c r="F51" s="41" t="s">
        <v>134</v>
      </c>
      <c r="G51" s="41" t="s">
        <v>37</v>
      </c>
      <c r="H51" s="41">
        <v>2744</v>
      </c>
      <c r="I51" s="41" t="s">
        <v>135</v>
      </c>
      <c r="J51" s="43" t="s">
        <v>38</v>
      </c>
      <c r="K51" s="41">
        <v>36.25</v>
      </c>
      <c r="L51" s="41">
        <f t="shared" si="0"/>
        <v>1363</v>
      </c>
      <c r="M51" s="41">
        <v>49408.75</v>
      </c>
      <c r="N51" s="15"/>
      <c r="O51" s="1"/>
      <c r="P51" s="1"/>
      <c r="Q51" s="1"/>
      <c r="R51" s="1"/>
      <c r="S51" s="1"/>
      <c r="T51" s="1"/>
      <c r="U51" s="1"/>
      <c r="V51" s="1"/>
      <c r="W51" s="1"/>
      <c r="X51" s="1"/>
    </row>
    <row r="52" spans="1:24" s="2" customFormat="1" ht="92.25">
      <c r="A52" s="41">
        <v>24</v>
      </c>
      <c r="B52" s="42">
        <v>45640</v>
      </c>
      <c r="C52" s="41" t="s">
        <v>48</v>
      </c>
      <c r="D52" s="41" t="s">
        <v>41</v>
      </c>
      <c r="E52" s="41" t="s">
        <v>136</v>
      </c>
      <c r="F52" s="41" t="s">
        <v>137</v>
      </c>
      <c r="G52" s="41" t="s">
        <v>37</v>
      </c>
      <c r="H52" s="41">
        <v>2750</v>
      </c>
      <c r="I52" s="41" t="s">
        <v>138</v>
      </c>
      <c r="J52" s="43" t="s">
        <v>38</v>
      </c>
      <c r="K52" s="41">
        <v>35.18</v>
      </c>
      <c r="L52" s="41">
        <f t="shared" si="0"/>
        <v>1340</v>
      </c>
      <c r="M52" s="41">
        <v>47141.2</v>
      </c>
      <c r="N52" s="15"/>
      <c r="O52" s="1"/>
      <c r="P52" s="1"/>
      <c r="Q52" s="1"/>
      <c r="R52" s="1"/>
      <c r="S52" s="1"/>
      <c r="T52" s="1"/>
      <c r="U52" s="1"/>
      <c r="V52" s="1"/>
      <c r="W52" s="1"/>
      <c r="X52" s="1"/>
    </row>
    <row r="53" spans="1:24" s="2" customFormat="1" ht="92.25">
      <c r="A53" s="41">
        <v>25</v>
      </c>
      <c r="B53" s="42">
        <v>45640</v>
      </c>
      <c r="C53" s="41" t="s">
        <v>139</v>
      </c>
      <c r="D53" s="41" t="s">
        <v>40</v>
      </c>
      <c r="E53" s="41" t="s">
        <v>140</v>
      </c>
      <c r="F53" s="41" t="s">
        <v>141</v>
      </c>
      <c r="G53" s="41" t="s">
        <v>37</v>
      </c>
      <c r="H53" s="41">
        <v>2745</v>
      </c>
      <c r="I53" s="41" t="s">
        <v>142</v>
      </c>
      <c r="J53" s="43" t="s">
        <v>38</v>
      </c>
      <c r="K53" s="41">
        <v>35.07</v>
      </c>
      <c r="L53" s="41">
        <f t="shared" si="0"/>
        <v>1363</v>
      </c>
      <c r="M53" s="41">
        <v>47800.41</v>
      </c>
      <c r="N53" s="15"/>
      <c r="O53" s="1"/>
      <c r="P53" s="1"/>
      <c r="Q53" s="1"/>
      <c r="R53" s="1"/>
      <c r="S53" s="1"/>
      <c r="T53" s="1"/>
      <c r="U53" s="1"/>
      <c r="V53" s="1"/>
      <c r="W53" s="1"/>
      <c r="X53" s="1"/>
    </row>
    <row r="54" spans="1:24" s="2" customFormat="1" ht="92.25">
      <c r="A54" s="41">
        <v>26</v>
      </c>
      <c r="B54" s="42">
        <v>45640</v>
      </c>
      <c r="C54" s="41" t="s">
        <v>48</v>
      </c>
      <c r="D54" s="41" t="s">
        <v>41</v>
      </c>
      <c r="E54" s="41" t="s">
        <v>143</v>
      </c>
      <c r="F54" s="41" t="s">
        <v>144</v>
      </c>
      <c r="G54" s="41" t="s">
        <v>37</v>
      </c>
      <c r="H54" s="41">
        <v>2747</v>
      </c>
      <c r="I54" s="41" t="s">
        <v>145</v>
      </c>
      <c r="J54" s="43" t="s">
        <v>38</v>
      </c>
      <c r="K54" s="41">
        <v>34.840000000000003</v>
      </c>
      <c r="L54" s="41">
        <f t="shared" si="0"/>
        <v>1339.9999999999998</v>
      </c>
      <c r="M54" s="41">
        <v>46685.599999999999</v>
      </c>
      <c r="N54" s="15"/>
      <c r="O54" s="1"/>
      <c r="P54" s="1"/>
      <c r="Q54" s="1"/>
      <c r="R54" s="1"/>
      <c r="S54" s="1"/>
      <c r="T54" s="1"/>
      <c r="U54" s="1"/>
      <c r="V54" s="1"/>
      <c r="W54" s="1"/>
      <c r="X54" s="1"/>
    </row>
    <row r="55" spans="1:24" s="2" customFormat="1" ht="92.25">
      <c r="A55" s="41"/>
      <c r="B55" s="42"/>
      <c r="C55" s="41"/>
      <c r="D55" s="41"/>
      <c r="E55" s="41"/>
      <c r="F55" s="41"/>
      <c r="G55" s="41"/>
      <c r="H55" s="41"/>
      <c r="I55" s="41"/>
      <c r="J55" s="43"/>
      <c r="K55" s="41"/>
      <c r="L55" s="41"/>
      <c r="M55" s="41"/>
      <c r="N55" s="15"/>
      <c r="O55" s="1"/>
      <c r="P55" s="1"/>
      <c r="Q55" s="1"/>
      <c r="R55" s="1"/>
      <c r="S55" s="1"/>
      <c r="T55" s="1"/>
      <c r="U55" s="1"/>
      <c r="V55" s="1"/>
      <c r="W55" s="1"/>
      <c r="X55" s="1"/>
    </row>
    <row r="56" spans="1:24" s="7" customFormat="1" ht="321.75" customHeight="1">
      <c r="A56" s="59" t="s">
        <v>31</v>
      </c>
      <c r="B56" s="60"/>
      <c r="C56" s="37"/>
      <c r="D56" s="17"/>
      <c r="E56" s="17"/>
      <c r="F56" s="37"/>
      <c r="G56" s="17"/>
      <c r="H56" s="39"/>
      <c r="I56" s="38"/>
      <c r="J56" s="13"/>
      <c r="K56" s="14">
        <f>SUM(K29:K54)</f>
        <v>936.13</v>
      </c>
      <c r="L56" s="37"/>
      <c r="M56" s="14">
        <f>SUM(M29:M54)</f>
        <v>1266386.4000000001</v>
      </c>
    </row>
    <row r="57" spans="1:24" s="7" customFormat="1" ht="321.75" customHeight="1">
      <c r="A57" s="59"/>
      <c r="B57" s="59"/>
      <c r="C57" s="59"/>
      <c r="D57" s="59"/>
      <c r="E57" s="59"/>
      <c r="F57" s="59"/>
      <c r="G57" s="59"/>
      <c r="H57" s="59"/>
      <c r="I57" s="59"/>
      <c r="J57" s="59"/>
      <c r="K57" s="59"/>
      <c r="L57" s="16" t="s">
        <v>32</v>
      </c>
      <c r="M57" s="11">
        <f>+M56*12%</f>
        <v>151966.36800000002</v>
      </c>
    </row>
    <row r="58" spans="1:24" s="7" customFormat="1" ht="216.75" customHeight="1">
      <c r="A58" s="59" t="s">
        <v>146</v>
      </c>
      <c r="B58" s="61"/>
      <c r="C58" s="61"/>
      <c r="D58" s="61"/>
      <c r="E58" s="61"/>
      <c r="F58" s="61"/>
      <c r="G58" s="61"/>
      <c r="H58" s="61"/>
      <c r="I58" s="61"/>
      <c r="J58" s="61"/>
      <c r="K58" s="61"/>
      <c r="L58" s="16"/>
      <c r="M58" s="40"/>
    </row>
    <row r="59" spans="1:24" s="7" customFormat="1" ht="216.75" customHeight="1" thickBot="1">
      <c r="A59" s="62" t="s">
        <v>147</v>
      </c>
      <c r="B59" s="63"/>
      <c r="C59" s="63"/>
      <c r="D59" s="63"/>
      <c r="E59" s="63"/>
      <c r="F59" s="63"/>
      <c r="G59" s="63"/>
      <c r="H59" s="63"/>
      <c r="I59" s="63"/>
      <c r="J59" s="63"/>
      <c r="K59" s="63"/>
      <c r="L59" s="16" t="s">
        <v>33</v>
      </c>
      <c r="M59" s="11">
        <f>+M56+M57</f>
        <v>1418352.7680000002</v>
      </c>
    </row>
    <row r="60" spans="1:24" s="7" customFormat="1" ht="89.25" customHeight="1">
      <c r="A60" s="65" t="s">
        <v>35</v>
      </c>
      <c r="B60" s="66"/>
      <c r="C60" s="66"/>
      <c r="D60" s="66"/>
      <c r="E60" s="66"/>
      <c r="F60" s="66"/>
      <c r="G60" s="66"/>
      <c r="H60" s="66"/>
      <c r="I60" s="66"/>
      <c r="J60" s="66"/>
      <c r="K60" s="66"/>
      <c r="L60" s="66"/>
      <c r="M60" s="66"/>
      <c r="N60" s="67"/>
    </row>
    <row r="61" spans="1:24" s="7" customFormat="1" ht="89.25" customHeight="1">
      <c r="A61" s="68"/>
      <c r="B61" s="69"/>
      <c r="C61" s="69"/>
      <c r="D61" s="69"/>
      <c r="E61" s="69"/>
      <c r="F61" s="69"/>
      <c r="G61" s="69"/>
      <c r="H61" s="69"/>
      <c r="I61" s="69"/>
      <c r="J61" s="69"/>
      <c r="K61" s="69"/>
      <c r="L61" s="69"/>
      <c r="M61" s="69"/>
      <c r="N61" s="70"/>
    </row>
    <row r="62" spans="1:24" s="7" customFormat="1" ht="89.25" customHeight="1">
      <c r="A62" s="68"/>
      <c r="B62" s="69"/>
      <c r="C62" s="69"/>
      <c r="D62" s="69"/>
      <c r="E62" s="69"/>
      <c r="F62" s="69"/>
      <c r="G62" s="69"/>
      <c r="H62" s="69"/>
      <c r="I62" s="69"/>
      <c r="J62" s="69"/>
      <c r="K62" s="69"/>
      <c r="L62" s="69"/>
      <c r="M62" s="69"/>
      <c r="N62" s="70"/>
    </row>
    <row r="63" spans="1:24" ht="89.25" customHeight="1" thickBot="1">
      <c r="A63" s="71"/>
      <c r="B63" s="72"/>
      <c r="C63" s="72"/>
      <c r="D63" s="72"/>
      <c r="E63" s="72"/>
      <c r="F63" s="72"/>
      <c r="G63" s="72"/>
      <c r="H63" s="72"/>
      <c r="I63" s="72"/>
      <c r="J63" s="72"/>
      <c r="K63" s="72"/>
      <c r="L63" s="72"/>
      <c r="M63" s="72"/>
      <c r="N63" s="73"/>
    </row>
    <row r="64" spans="1:24" ht="89.25" customHeight="1"/>
    <row r="65" spans="3:12" ht="89.25" customHeight="1">
      <c r="J65" t="s">
        <v>34</v>
      </c>
      <c r="K65" s="7"/>
    </row>
    <row r="66" spans="3:12" ht="89.25" customHeight="1">
      <c r="K66" s="7"/>
    </row>
    <row r="67" spans="3:12" ht="89.25" customHeight="1">
      <c r="L67" s="12" t="s">
        <v>12</v>
      </c>
    </row>
    <row r="68" spans="3:12" ht="89.25" customHeight="1">
      <c r="C68" s="64"/>
      <c r="D68" s="64"/>
      <c r="E68" s="64"/>
      <c r="F68" s="64"/>
      <c r="G68" s="64"/>
      <c r="H68" s="64"/>
      <c r="I68" s="64"/>
      <c r="J68" s="64"/>
      <c r="K68" s="64"/>
      <c r="L68" s="64"/>
    </row>
  </sheetData>
  <mergeCells count="25">
    <mergeCell ref="A56:B56"/>
    <mergeCell ref="A57:K57"/>
    <mergeCell ref="A58:K58"/>
    <mergeCell ref="A59:K59"/>
    <mergeCell ref="C68:L68"/>
    <mergeCell ref="A60:N63"/>
    <mergeCell ref="J22:K22"/>
    <mergeCell ref="J24:K24"/>
    <mergeCell ref="J25:K25"/>
    <mergeCell ref="L25:N25"/>
    <mergeCell ref="L22:N22"/>
    <mergeCell ref="L24:N24"/>
    <mergeCell ref="A17:M17"/>
    <mergeCell ref="A19:M19"/>
    <mergeCell ref="J20:K20"/>
    <mergeCell ref="J21:K21"/>
    <mergeCell ref="L21:N21"/>
    <mergeCell ref="J6:M6"/>
    <mergeCell ref="A13:M13"/>
    <mergeCell ref="A14:M14"/>
    <mergeCell ref="A15:M15"/>
    <mergeCell ref="A16:M16"/>
    <mergeCell ref="D9:F9"/>
    <mergeCell ref="D3:F7"/>
    <mergeCell ref="J8:M9"/>
  </mergeCells>
  <pageMargins left="0.23" right="0.23622047244094499" top="1.4173228346456701" bottom="0.74803149606299202" header="0.31496062992126" footer="0.31496062992126"/>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user</cp:lastModifiedBy>
  <cp:lastPrinted>2024-11-14T06:39:37Z</cp:lastPrinted>
  <dcterms:created xsi:type="dcterms:W3CDTF">2006-09-16T00:00:00Z</dcterms:created>
  <dcterms:modified xsi:type="dcterms:W3CDTF">2024-12-21T11:14:37Z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
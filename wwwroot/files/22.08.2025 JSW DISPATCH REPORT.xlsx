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FD97C3-4F9E-4101-ADCC-6312A432B3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6" r:id="rId1"/>
  </sheets>
  <calcPr calcId="181029"/>
</workbook>
</file>

<file path=xl/calcChain.xml><?xml version="1.0" encoding="utf-8"?>
<calcChain xmlns="http://schemas.openxmlformats.org/spreadsheetml/2006/main">
  <c r="F21" i="26" l="1"/>
  <c r="F23" i="26" s="1"/>
  <c r="B22" i="26"/>
  <c r="B20" i="26"/>
  <c r="B21" i="26" s="1"/>
  <c r="B23" i="26" s="1"/>
  <c r="F22" i="26"/>
  <c r="F24" i="26" s="1"/>
  <c r="E16" i="26"/>
  <c r="B24" i="26" l="1"/>
</calcChain>
</file>

<file path=xl/sharedStrings.xml><?xml version="1.0" encoding="utf-8"?>
<sst xmlns="http://schemas.openxmlformats.org/spreadsheetml/2006/main" count="67" uniqueCount="40">
  <si>
    <t>VEHICLE NO.</t>
  </si>
  <si>
    <t>QTY IN MT</t>
  </si>
  <si>
    <t>PARTY NAME</t>
  </si>
  <si>
    <t>DESTINATION</t>
  </si>
  <si>
    <t>INTERNAL NO.</t>
  </si>
  <si>
    <t>DATE</t>
  </si>
  <si>
    <t>EX/EXPENCES</t>
  </si>
  <si>
    <t>TS01UC1865</t>
  </si>
  <si>
    <t>MH34BG6589</t>
  </si>
  <si>
    <t xml:space="preserve">Miyapur </t>
  </si>
  <si>
    <t>TS01UC2090</t>
  </si>
  <si>
    <t xml:space="preserve">Gsm infra </t>
  </si>
  <si>
    <t xml:space="preserve">Narsingi </t>
  </si>
  <si>
    <t>TS01UC1868</t>
  </si>
  <si>
    <t>TS01UC2080</t>
  </si>
  <si>
    <t>TS01UC2127</t>
  </si>
  <si>
    <t>TS01UC2092</t>
  </si>
  <si>
    <t xml:space="preserve">PUPPALGUDA </t>
  </si>
  <si>
    <t>TS01UC1782</t>
  </si>
  <si>
    <t>TS01UC2139</t>
  </si>
  <si>
    <t>TS01UC2083</t>
  </si>
  <si>
    <t>MH34BG7074</t>
  </si>
  <si>
    <t xml:space="preserve">Kompally </t>
  </si>
  <si>
    <t>MH34BG6934</t>
  </si>
  <si>
    <t xml:space="preserve">Bhaskar nagar </t>
  </si>
  <si>
    <t>TS01UC1789</t>
  </si>
  <si>
    <t>MH34BG7117</t>
  </si>
  <si>
    <t xml:space="preserve">Ashoka builders India PVT Ltd </t>
  </si>
  <si>
    <t>TOTAL</t>
  </si>
  <si>
    <t xml:space="preserve">22.08.2025  </t>
  </si>
  <si>
    <t xml:space="preserve">Engineers Rmx &amp; build </t>
  </si>
  <si>
    <t xml:space="preserve">Maheshwaram </t>
  </si>
  <si>
    <t xml:space="preserve">Dilip buildcon limited </t>
  </si>
  <si>
    <t>Karim Nagar</t>
  </si>
  <si>
    <t>Ultratech Cement Ltd</t>
  </si>
  <si>
    <t>Sohini builders LLP</t>
  </si>
  <si>
    <t xml:space="preserve">ACC limited </t>
  </si>
  <si>
    <t xml:space="preserve">Ghatkesar </t>
  </si>
  <si>
    <t xml:space="preserve">Veera RMC India private limited </t>
  </si>
  <si>
    <t xml:space="preserve">Lansum&amp; mk realty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</si>
</sst>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0E1-DF8B-B845-85F1-7DB62AD21C0C}">
  <dimension ref="A1:F33"/>
  <sheetViews>
    <sheetView tabSelected="1" zoomScaleNormal="100" zoomScaleSheetLayoutView="100" workbookViewId="0">
      <selection activeCell="A2" sqref="A2:A15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3020895306</v>
      </c>
      <c r="B2" s="4" t="s">
        <v>24</v>
      </c>
      <c r="C2" s="2" t="s">
        <v>14</v>
      </c>
      <c r="D2" s="3" t="s">
        <v>29</v>
      </c>
      <c r="E2" s="2">
        <v>36.97</v>
      </c>
      <c r="F2" s="4" t="s">
        <v>35</v>
      </c>
    </row>
    <row r="3" spans="1:6" ht="24.75" customHeight="1" x14ac:dyDescent="0.25">
      <c r="A3" s="4">
        <v>3020902473</v>
      </c>
      <c r="B3" s="4" t="s">
        <v>31</v>
      </c>
      <c r="C3" s="2" t="s">
        <v>13</v>
      </c>
      <c r="D3" s="3" t="s">
        <v>29</v>
      </c>
      <c r="E3" s="2">
        <v>36.83</v>
      </c>
      <c r="F3" s="4" t="s">
        <v>30</v>
      </c>
    </row>
    <row r="4" spans="1:6" ht="24.75" customHeight="1" x14ac:dyDescent="0.25">
      <c r="A4" s="4">
        <v>3020900055</v>
      </c>
      <c r="B4" s="4" t="s">
        <v>37</v>
      </c>
      <c r="C4" s="2" t="s">
        <v>26</v>
      </c>
      <c r="D4" s="3" t="s">
        <v>29</v>
      </c>
      <c r="E4" s="2">
        <v>36.92</v>
      </c>
      <c r="F4" s="4" t="s">
        <v>36</v>
      </c>
    </row>
    <row r="5" spans="1:6" ht="24.75" customHeight="1" x14ac:dyDescent="0.25">
      <c r="A5" s="4">
        <v>3020902266</v>
      </c>
      <c r="B5" s="4" t="s">
        <v>33</v>
      </c>
      <c r="C5" s="2" t="s">
        <v>16</v>
      </c>
      <c r="D5" s="3" t="s">
        <v>29</v>
      </c>
      <c r="E5" s="2">
        <v>36.94</v>
      </c>
      <c r="F5" s="4" t="s">
        <v>32</v>
      </c>
    </row>
    <row r="6" spans="1:6" ht="24.75" customHeight="1" x14ac:dyDescent="0.25">
      <c r="A6" s="4">
        <v>3020891996</v>
      </c>
      <c r="B6" s="4" t="s">
        <v>12</v>
      </c>
      <c r="C6" s="2" t="s">
        <v>8</v>
      </c>
      <c r="D6" s="3" t="s">
        <v>29</v>
      </c>
      <c r="E6" s="2">
        <v>36.71</v>
      </c>
      <c r="F6" s="4" t="s">
        <v>11</v>
      </c>
    </row>
    <row r="7" spans="1:6" ht="24.75" customHeight="1" x14ac:dyDescent="0.25">
      <c r="A7" s="4">
        <v>3020900840</v>
      </c>
      <c r="B7" s="4" t="s">
        <v>31</v>
      </c>
      <c r="C7" s="2" t="s">
        <v>21</v>
      </c>
      <c r="D7" s="3" t="s">
        <v>29</v>
      </c>
      <c r="E7" s="2">
        <v>36.81</v>
      </c>
      <c r="F7" s="4" t="s">
        <v>30</v>
      </c>
    </row>
    <row r="8" spans="1:6" ht="24.75" customHeight="1" x14ac:dyDescent="0.25">
      <c r="A8" s="4">
        <v>3020899071</v>
      </c>
      <c r="B8" s="4" t="s">
        <v>22</v>
      </c>
      <c r="C8" s="2" t="s">
        <v>15</v>
      </c>
      <c r="D8" s="3" t="s">
        <v>29</v>
      </c>
      <c r="E8" s="2">
        <v>36.9</v>
      </c>
      <c r="F8" s="4" t="s">
        <v>38</v>
      </c>
    </row>
    <row r="9" spans="1:6" ht="24.75" customHeight="1" x14ac:dyDescent="0.25">
      <c r="A9" s="4">
        <v>3020900847</v>
      </c>
      <c r="B9" s="4" t="s">
        <v>33</v>
      </c>
      <c r="C9" s="2" t="s">
        <v>18</v>
      </c>
      <c r="D9" s="3" t="s">
        <v>29</v>
      </c>
      <c r="E9" s="2">
        <v>37.06</v>
      </c>
      <c r="F9" s="4" t="s">
        <v>32</v>
      </c>
    </row>
    <row r="10" spans="1:6" ht="24.75" customHeight="1" x14ac:dyDescent="0.25">
      <c r="A10" s="4">
        <v>3020899586</v>
      </c>
      <c r="B10" s="4" t="s">
        <v>22</v>
      </c>
      <c r="C10" s="2" t="s">
        <v>7</v>
      </c>
      <c r="D10" s="3" t="s">
        <v>29</v>
      </c>
      <c r="E10" s="2">
        <v>36.67</v>
      </c>
      <c r="F10" s="4" t="s">
        <v>34</v>
      </c>
    </row>
    <row r="11" spans="1:6" ht="24.75" customHeight="1" x14ac:dyDescent="0.25">
      <c r="A11" s="4">
        <v>3020896671</v>
      </c>
      <c r="B11" s="4" t="s">
        <v>17</v>
      </c>
      <c r="C11" s="2" t="s">
        <v>25</v>
      </c>
      <c r="D11" s="3" t="s">
        <v>29</v>
      </c>
      <c r="E11" s="2">
        <v>36.840000000000003</v>
      </c>
      <c r="F11" s="4" t="s">
        <v>39</v>
      </c>
    </row>
    <row r="12" spans="1:6" ht="24.75" customHeight="1" x14ac:dyDescent="0.25">
      <c r="A12" s="4">
        <v>3020900194</v>
      </c>
      <c r="B12" s="4" t="s">
        <v>33</v>
      </c>
      <c r="C12" s="2" t="s">
        <v>20</v>
      </c>
      <c r="D12" s="3" t="s">
        <v>29</v>
      </c>
      <c r="E12" s="2">
        <v>36.94</v>
      </c>
      <c r="F12" s="4" t="s">
        <v>32</v>
      </c>
    </row>
    <row r="13" spans="1:6" ht="24.75" customHeight="1" x14ac:dyDescent="0.25">
      <c r="A13" s="4">
        <v>3020895597</v>
      </c>
      <c r="B13" s="4" t="s">
        <v>12</v>
      </c>
      <c r="C13" s="2" t="s">
        <v>10</v>
      </c>
      <c r="D13" s="3" t="s">
        <v>29</v>
      </c>
      <c r="E13" s="2">
        <v>37.130000000000003</v>
      </c>
      <c r="F13" s="4" t="s">
        <v>11</v>
      </c>
    </row>
    <row r="14" spans="1:6" ht="24.75" customHeight="1" x14ac:dyDescent="0.25">
      <c r="A14" s="4">
        <v>3020876879</v>
      </c>
      <c r="B14" s="4" t="s">
        <v>12</v>
      </c>
      <c r="C14" s="2" t="s">
        <v>23</v>
      </c>
      <c r="D14" s="3" t="s">
        <v>29</v>
      </c>
      <c r="E14" s="2">
        <v>36.75</v>
      </c>
      <c r="F14" s="4" t="s">
        <v>11</v>
      </c>
    </row>
    <row r="15" spans="1:6" ht="24.75" customHeight="1" thickBot="1" x14ac:dyDescent="0.3">
      <c r="A15" s="4">
        <v>3020899731</v>
      </c>
      <c r="B15" s="4" t="s">
        <v>9</v>
      </c>
      <c r="C15" s="2" t="s">
        <v>19</v>
      </c>
      <c r="D15" s="3" t="s">
        <v>29</v>
      </c>
      <c r="E15" s="2">
        <v>36.76</v>
      </c>
      <c r="F15" s="4" t="s">
        <v>27</v>
      </c>
    </row>
    <row r="16" spans="1:6" ht="24.75" customHeight="1" thickBot="1" x14ac:dyDescent="0.3">
      <c r="A16" s="5"/>
      <c r="B16" s="5"/>
      <c r="C16" s="5"/>
      <c r="D16" s="13" t="s">
        <v>28</v>
      </c>
      <c r="E16" s="11">
        <f>SUM(E2:E15)</f>
        <v>516.23</v>
      </c>
      <c r="F16" s="5"/>
    </row>
    <row r="17" spans="1:6" ht="24.75" customHeight="1" x14ac:dyDescent="0.25">
      <c r="A17" s="5"/>
      <c r="B17" s="5"/>
      <c r="C17" s="5"/>
      <c r="D17" s="5"/>
      <c r="E17" s="8" t="s">
        <v>6</v>
      </c>
      <c r="F17" s="5"/>
    </row>
    <row r="18" spans="1:6" ht="24.75" customHeight="1" x14ac:dyDescent="0.25">
      <c r="A18" s="5"/>
      <c r="B18" s="3">
        <v>10</v>
      </c>
      <c r="C18" s="5"/>
      <c r="D18" s="5"/>
      <c r="E18" s="18" t="s">
        <v>23</v>
      </c>
      <c r="F18" s="3">
        <v>0</v>
      </c>
    </row>
    <row r="19" spans="1:6" ht="24.75" customHeight="1" x14ac:dyDescent="0.25">
      <c r="A19" s="5"/>
      <c r="B19" s="3">
        <v>5</v>
      </c>
      <c r="C19" s="5"/>
      <c r="D19" s="5"/>
      <c r="E19" s="18" t="s">
        <v>10</v>
      </c>
      <c r="F19" s="3">
        <v>0</v>
      </c>
    </row>
    <row r="20" spans="1:6" ht="24.75" customHeight="1" x14ac:dyDescent="0.25">
      <c r="A20" s="5"/>
      <c r="B20" s="19">
        <f>10+10</f>
        <v>20</v>
      </c>
      <c r="C20" s="5"/>
      <c r="D20" s="5"/>
      <c r="E20" s="10" t="s">
        <v>7</v>
      </c>
      <c r="F20" s="19">
        <v>0</v>
      </c>
    </row>
    <row r="21" spans="1:6" ht="24.75" customHeight="1" x14ac:dyDescent="0.25">
      <c r="A21" s="14"/>
      <c r="B21" s="12">
        <f>SUM(B18:B20)</f>
        <v>35</v>
      </c>
      <c r="C21" s="5"/>
      <c r="D21" s="14"/>
      <c r="E21" s="6"/>
      <c r="F21" s="12">
        <f>SUM(F18:F20)</f>
        <v>0</v>
      </c>
    </row>
    <row r="22" spans="1:6" ht="24.75" customHeight="1" x14ac:dyDescent="0.25">
      <c r="A22" s="14"/>
      <c r="B22" s="3" t="e">
        <f>#REF!</f>
        <v>#REF!</v>
      </c>
      <c r="C22" s="5"/>
      <c r="D22" s="14"/>
      <c r="E22" s="5"/>
      <c r="F22" s="3" t="e">
        <f>#REF!</f>
        <v>#REF!</v>
      </c>
    </row>
    <row r="23" spans="1:6" ht="24.75" customHeight="1" thickBot="1" x14ac:dyDescent="0.3">
      <c r="A23" s="14"/>
      <c r="B23" s="9">
        <f>B21</f>
        <v>35</v>
      </c>
      <c r="C23" s="5"/>
      <c r="D23" s="14"/>
      <c r="E23" s="5"/>
      <c r="F23" s="9">
        <f>F21</f>
        <v>0</v>
      </c>
    </row>
    <row r="24" spans="1:6" ht="30.75" customHeight="1" thickBot="1" x14ac:dyDescent="0.3">
      <c r="A24" s="14"/>
      <c r="B24" s="17" t="e">
        <f>SUM(B22:B23)</f>
        <v>#REF!</v>
      </c>
      <c r="C24" s="14"/>
      <c r="D24" s="14"/>
      <c r="E24" s="15"/>
      <c r="F24" s="16" t="e">
        <f>SUM(F22:F23)</f>
        <v>#REF!</v>
      </c>
    </row>
    <row r="25" spans="1:6" ht="24.75" customHeight="1" x14ac:dyDescent="0.25">
      <c r="A25" s="5"/>
      <c r="C25" s="5"/>
      <c r="D25" s="5"/>
      <c r="E25" s="4"/>
    </row>
    <row r="26" spans="1:6" ht="24.75" customHeight="1" x14ac:dyDescent="0.25">
      <c r="A26" s="5"/>
      <c r="C26" s="5"/>
      <c r="D26" s="5"/>
      <c r="E26" s="4"/>
    </row>
    <row r="27" spans="1:6" ht="24.75" hidden="1" customHeight="1" x14ac:dyDescent="0.25">
      <c r="A27" s="5"/>
      <c r="C27" s="5"/>
      <c r="D27" s="5"/>
      <c r="E27" s="10"/>
    </row>
    <row r="28" spans="1:6" ht="24.75" hidden="1" customHeight="1" x14ac:dyDescent="0.25">
      <c r="A28" s="5"/>
      <c r="C28" s="5"/>
      <c r="D28" s="5"/>
      <c r="E28" s="4"/>
    </row>
    <row r="29" spans="1:6" ht="24.75" customHeight="1" x14ac:dyDescent="0.25">
      <c r="A29" s="6"/>
      <c r="C29" s="5"/>
      <c r="D29" s="6"/>
      <c r="E29" s="6"/>
    </row>
    <row r="30" spans="1:6" ht="24.75" customHeight="1" x14ac:dyDescent="0.25">
      <c r="A30" s="6"/>
      <c r="C30" s="5"/>
      <c r="D30" s="6"/>
      <c r="E30" s="5"/>
    </row>
    <row r="31" spans="1:6" ht="24.75" customHeight="1" x14ac:dyDescent="0.25">
      <c r="A31" s="6"/>
      <c r="C31" s="5"/>
      <c r="D31" s="6"/>
      <c r="E31" s="5"/>
    </row>
    <row r="32" spans="1:6" ht="24.75" customHeight="1" x14ac:dyDescent="0.25">
      <c r="A32" s="7"/>
      <c r="C32" s="7"/>
      <c r="D32" s="7"/>
      <c r="E32" s="7"/>
    </row>
    <row r="33" spans="1:5" ht="24.75" customHeight="1" x14ac:dyDescent="0.25">
      <c r="A33" s="7"/>
      <c r="C33" s="7"/>
      <c r="D33" s="7"/>
      <c r="E33" s="7"/>
    </row>
  </sheetData>
  <phoneticPr fontId="5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2025-08-24T09:22:32Z</dcterms:modified>
</cp:coreProperties>
</file>
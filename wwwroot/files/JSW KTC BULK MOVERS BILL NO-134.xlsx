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80449263-5062-40D6-88FE-7D07693601A8}" xr6:coauthVersionLast="47" xr6:coauthVersionMax="47" xr10:uidLastSave="{00000000-0000-0000-0000-000000000000}"/>
  <bookViews>
    <workbookView xWindow="-120" yWindow="-120" windowWidth="20730" windowHeight="11040" xr2:uid="{00000000-000D-0000-FFFF-FFFF00000000}"/>
  </bookViews>
  <sheets>
    <sheet name="bill5" sheetId="3" r:id="rId1"/>
  </sheets>
  <definedNames>
    <definedName name="_xlnm.Print_Area" localSheetId="0">bill5!$A$2:$N$44</definedName>
  </definedNames>
  <calcPr calcId="181029"/>
</workbook>
</file>

<file path=xl/calcChain.xml><?xml version="1.0" encoding="utf-8"?>
<calcChain xmlns="http://schemas.openxmlformats.org/spreadsheetml/2006/main">
  <c r="K32" i="3" l="1"/>
  <c r="N32" i="3"/>
  <c r="N33" i="3" s="1"/>
  <c r="N35" i="3" s="1"/>
  <c r="M29" i="3"/>
  <c r="M30" i="3"/>
</calcChain>
</file>

<file path=xl/sharedStrings.xml><?xml version="1.0" encoding="utf-8"?>
<sst xmlns="http://schemas.openxmlformats.org/spreadsheetml/2006/main" count="60" uniqueCount="55">
  <si>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</si>
  <si>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</si>
  <si>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</si>
  <si>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</si>
  <si>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</si>
  <si>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</si>
  <si>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</si>
  <si>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</si>
  <si>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 10-FEB-2023   </t>
  </si>
  <si>
    <t xml:space="preserve">VIJAYANAGAR WORKS </t>
  </si>
  <si>
    <t xml:space="preserve">Vendor Code:-  </t>
  </si>
  <si>
    <t xml:space="preserve">PO-VIDYANAGAR,     </t>
  </si>
  <si>
    <t xml:space="preserve">Vendor Name:- </t>
  </si>
  <si>
    <t>KTC BULK MOVERS</t>
  </si>
  <si>
    <t xml:space="preserve">TORANAGALLU  </t>
  </si>
  <si>
    <t>Bill No:-</t>
  </si>
  <si>
    <t>KTC/22-23/01</t>
  </si>
  <si>
    <t xml:space="preserve">GSTN:- 29AABCJ6731B1ZS </t>
  </si>
  <si>
    <t>EPOD Status:-</t>
  </si>
  <si>
    <t xml:space="preserve"> N</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</si>
  <si>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</si>
  <si>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</si>
  <si>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</si>
  <si>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</si>
  <si>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</si>
  <si>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</si>
  <si>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</si>
  <si>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</si>
  <si>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</si>
  <si>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</si>
  <si>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</si>
  <si>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</si>
  <si>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</si>
  <si>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</si>
  <si>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</si>
  <si>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</si>
  <si>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</si>
  <si>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</si>
  <si>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</si>
  <si>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</si>
  <si>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</si>
  <si>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</si>
  <si>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MIYAPUR</t>
  </si>
  <si>
    <t>KTC/24-25/J-134</t>
  </si>
  <si>
    <t>OM SREE BUILDERS &amp; DEVELOPERS LLP</t>
  </si>
  <si>
    <t>3020744337</t>
  </si>
  <si>
    <t>MH34BG6931</t>
  </si>
  <si>
    <t>4021153961</t>
  </si>
  <si>
    <t>BHAVYA CONSTRUCTIONS PVT LTD</t>
  </si>
  <si>
    <t>3020742149</t>
  </si>
  <si>
    <t>MH34BG6932</t>
  </si>
  <si>
    <t>4021143643</t>
  </si>
  <si>
    <t xml:space="preserve">GST IN WORDS  :- One Lakh Thirty-seven Thousand Three Hundred Fifty-nine And Forty Two Paisa Only
</t>
  </si>
  <si>
    <t xml:space="preserve"> AMOUNT IN WORDS:- Twelve Lakh Eighty-two Thousand Twenty-one And Twenty Nine Paisa Only</t>
  </si>
  <si>
    <t xml:space="preserve"> 19-NOV-2024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</si>
</sst>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sz val="65"/>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1" fontId="12" fillId="0" borderId="7" xfId="0" applyNumberFormat="1" applyFont="1" applyBorder="1" applyAlignment="1">
      <alignment horizontal="center" vertical="center"/>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164" fontId="21" fillId="0" borderId="0" xfId="0" applyNumberFormat="1" applyFont="1" applyAlignment="1">
      <alignment horizontal="right" vertical="top"/>
    </xf>
    <xf numFmtId="14" fontId="12" fillId="0" borderId="7" xfId="0" applyNumberFormat="1" applyFont="1" applyBorder="1" applyAlignment="1">
      <alignment horizontal="center" vertical="center"/>
    </xf>
    <xf numFmtId="0" fontId="1" fillId="2" borderId="0" xfId="0" applyFont="1" applyFill="1" applyAlignment="1">
      <alignment horizontal="center"/>
    </xf>
    <xf numFmtId="0" fontId="1" fillId="2" borderId="0" xfId="0" applyFont="1" applyFill="1"/>
    <xf numFmtId="0" fontId="2" fillId="2" borderId="0" xfId="0" applyFont="1" applyFill="1"/>
    <xf numFmtId="0" fontId="12" fillId="3" borderId="7" xfId="0" applyFont="1" applyFill="1" applyBorder="1" applyAlignment="1">
      <alignment horizontal="center" vertical="center"/>
    </xf>
    <xf numFmtId="14" fontId="12" fillId="3" borderId="7" xfId="0" applyNumberFormat="1" applyFont="1" applyFill="1" applyBorder="1" applyAlignment="1">
      <alignment horizontal="center" vertical="center"/>
    </xf>
    <xf numFmtId="1" fontId="12" fillId="3" borderId="7" xfId="0" applyNumberFormat="1" applyFont="1" applyFill="1" applyBorder="1" applyAlignment="1">
      <alignment horizontal="center" vertical="center"/>
    </xf>
    <xf numFmtId="2" fontId="12" fillId="3" borderId="7" xfId="0" applyNumberFormat="1" applyFont="1" applyFill="1" applyBorder="1" applyAlignment="1">
      <alignment horizontal="center" vertical="center"/>
    </xf>
    <xf numFmtId="164" fontId="21" fillId="3" borderId="0" xfId="0" applyNumberFormat="1" applyFont="1" applyFill="1" applyAlignment="1">
      <alignment horizontal="right" vertical="top"/>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9" fillId="0" borderId="0" xfId="0" applyFont="1" applyAlignment="1">
      <alignment horizontal="left" vertical="top"/>
    </xf>
    <xf numFmtId="0" fontId="19" fillId="0" borderId="9" xfId="0" applyFont="1" applyBorder="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20" fillId="0" borderId="3" xfId="0" applyFont="1" applyBorder="1" applyAlignment="1">
      <alignment horizontal="center"/>
    </xf>
    <xf numFmtId="0" fontId="19"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Y44"/>
  <sheetViews>
    <sheetView tabSelected="1" view="pageBreakPreview" topLeftCell="G28" zoomScale="40" zoomScaleNormal="10" zoomScaleSheetLayoutView="40" workbookViewId="0">
      <selection activeCell="I30" sqref="I30"/>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0.28515625" customWidth="1"/>
    <col min="13" max="13" width="52.28515625" customWidth="1"/>
    <col min="14" max="14" width="73.42578125" customWidth="1"/>
    <col min="15" max="15" width="9" hidden="1" customWidth="1"/>
  </cols>
  <sheetData>
    <row r="3" spans="1:14" ht="15" customHeight="1">
      <c r="D3" s="78"/>
      <c r="E3" s="78"/>
      <c r="F3" s="78"/>
    </row>
    <row r="4" spans="1:14" ht="15" customHeight="1">
      <c r="D4" s="78"/>
      <c r="E4" s="78"/>
      <c r="F4" s="78"/>
    </row>
    <row r="5" spans="1:14" ht="15" customHeight="1">
      <c r="D5" s="78"/>
      <c r="E5" s="78"/>
      <c r="F5" s="78"/>
    </row>
    <row r="6" spans="1:14" ht="15" customHeight="1">
      <c r="D6" s="78"/>
      <c r="E6" s="78"/>
      <c r="F6" s="78"/>
      <c r="J6" s="76"/>
      <c r="K6" s="76"/>
      <c r="L6" s="76"/>
      <c r="M6" s="76"/>
      <c r="N6" s="76"/>
    </row>
    <row r="7" spans="1:14">
      <c r="D7" s="78"/>
      <c r="E7" s="78"/>
      <c r="F7" s="78"/>
      <c r="J7" s="9"/>
      <c r="K7" s="9"/>
      <c r="L7" s="9"/>
      <c r="M7" s="9"/>
      <c r="N7" s="9"/>
    </row>
    <row r="8" spans="1:14" ht="18.75" customHeight="1">
      <c r="A8" s="19"/>
      <c r="B8" s="19"/>
      <c r="C8" s="20"/>
      <c r="D8" s="19"/>
      <c r="E8" s="19"/>
      <c r="F8" s="19"/>
      <c r="G8" s="19"/>
      <c r="H8" s="19"/>
      <c r="I8" s="19"/>
      <c r="J8" s="79"/>
      <c r="K8" s="79"/>
      <c r="L8" s="79"/>
      <c r="M8" s="79"/>
      <c r="N8" s="79"/>
    </row>
    <row r="9" spans="1:14" ht="15" customHeight="1">
      <c r="A9" s="19"/>
      <c r="B9" s="19"/>
      <c r="C9" s="20"/>
      <c r="D9" s="77"/>
      <c r="E9" s="77"/>
      <c r="F9" s="77"/>
      <c r="G9" s="19"/>
      <c r="H9" s="19"/>
      <c r="I9" s="19"/>
      <c r="J9" s="79"/>
      <c r="K9" s="79"/>
      <c r="L9" s="79"/>
      <c r="M9" s="79"/>
      <c r="N9" s="79"/>
    </row>
    <row r="10" spans="1:14">
      <c r="A10" s="19"/>
      <c r="B10" s="19"/>
      <c r="C10" s="20"/>
      <c r="D10" s="19"/>
      <c r="E10" s="19"/>
      <c r="F10" s="19"/>
      <c r="G10" s="19"/>
      <c r="H10" s="19"/>
      <c r="I10" s="19"/>
      <c r="J10" s="19"/>
      <c r="K10" s="19"/>
      <c r="L10" s="19"/>
      <c r="M10" s="19"/>
      <c r="N10" s="19"/>
    </row>
    <row r="11" spans="1:14">
      <c r="A11" s="19"/>
      <c r="B11" s="19"/>
      <c r="C11" s="20"/>
      <c r="D11" s="19"/>
      <c r="E11" s="19"/>
      <c r="F11" s="19"/>
      <c r="G11" s="19"/>
      <c r="H11" s="19"/>
      <c r="I11" s="19"/>
      <c r="J11" s="19"/>
      <c r="K11" s="19"/>
      <c r="L11" s="19"/>
      <c r="M11" s="19"/>
      <c r="N11" s="19"/>
    </row>
    <row r="12" spans="1:14">
      <c r="A12" s="19"/>
      <c r="B12" s="19"/>
      <c r="C12" s="20"/>
      <c r="D12" s="19"/>
      <c r="E12" s="19"/>
      <c r="F12" s="19"/>
      <c r="G12" s="19"/>
      <c r="H12" s="19"/>
      <c r="I12" s="19"/>
      <c r="J12" s="19"/>
      <c r="K12" s="19"/>
      <c r="L12" s="19"/>
      <c r="M12" s="19"/>
      <c r="N12" s="19"/>
    </row>
    <row r="13" spans="1:14" s="1" customFormat="1" ht="89.25">
      <c r="A13" s="71" t="s">
        <v>0</v>
      </c>
      <c r="B13" s="72"/>
      <c r="C13" s="72"/>
      <c r="D13" s="72"/>
      <c r="E13" s="72"/>
      <c r="F13" s="72"/>
      <c r="G13" s="72"/>
      <c r="H13" s="72"/>
      <c r="I13" s="72"/>
      <c r="J13" s="72"/>
      <c r="K13" s="72"/>
      <c r="L13" s="72"/>
      <c r="M13" s="72"/>
      <c r="N13" s="73"/>
    </row>
    <row r="14" spans="1:14" s="1" customFormat="1" ht="89.45" customHeight="1">
      <c r="A14" s="71" t="s">
        <v>1</v>
      </c>
      <c r="B14" s="72"/>
      <c r="C14" s="72"/>
      <c r="D14" s="72"/>
      <c r="E14" s="72"/>
      <c r="F14" s="72"/>
      <c r="G14" s="72"/>
      <c r="H14" s="72"/>
      <c r="I14" s="72"/>
      <c r="J14" s="72"/>
      <c r="K14" s="72"/>
      <c r="L14" s="72"/>
      <c r="M14" s="72"/>
      <c r="N14" s="73"/>
    </row>
    <row r="15" spans="1:14" s="1" customFormat="1" ht="89.45" customHeight="1">
      <c r="A15" s="71" t="s">
        <v>2</v>
      </c>
      <c r="B15" s="72"/>
      <c r="C15" s="72"/>
      <c r="D15" s="72"/>
      <c r="E15" s="72"/>
      <c r="F15" s="72"/>
      <c r="G15" s="72"/>
      <c r="H15" s="72"/>
      <c r="I15" s="72"/>
      <c r="J15" s="72"/>
      <c r="K15" s="72"/>
      <c r="L15" s="72"/>
      <c r="M15" s="72"/>
      <c r="N15" s="73"/>
    </row>
    <row r="16" spans="1:14" s="2" customFormat="1" ht="89.45" customHeight="1">
      <c r="A16" s="71" t="s">
        <v>3</v>
      </c>
      <c r="B16" s="72"/>
      <c r="C16" s="72"/>
      <c r="D16" s="72"/>
      <c r="E16" s="72"/>
      <c r="F16" s="72"/>
      <c r="G16" s="72"/>
      <c r="H16" s="72"/>
      <c r="I16" s="72"/>
      <c r="J16" s="72"/>
      <c r="K16" s="72"/>
      <c r="L16" s="72"/>
      <c r="M16" s="72"/>
      <c r="N16" s="73"/>
    </row>
    <row r="17" spans="1:25" s="2" customFormat="1" ht="89.45" customHeight="1">
      <c r="A17" s="71" t="s">
        <v>4</v>
      </c>
      <c r="B17" s="72"/>
      <c r="C17" s="72"/>
      <c r="D17" s="72"/>
      <c r="E17" s="72"/>
      <c r="F17" s="72"/>
      <c r="G17" s="72"/>
      <c r="H17" s="72"/>
      <c r="I17" s="72"/>
      <c r="J17" s="72"/>
      <c r="K17" s="72"/>
      <c r="L17" s="72"/>
      <c r="M17" s="72"/>
      <c r="N17" s="73"/>
    </row>
    <row r="18" spans="1:25" s="3" customFormat="1" ht="89.45" customHeight="1">
      <c r="A18" s="21"/>
      <c r="B18" s="22"/>
      <c r="C18" s="23"/>
      <c r="D18" s="22"/>
      <c r="E18" s="22" t="s">
        <v>5</v>
      </c>
      <c r="F18" s="22"/>
      <c r="G18" s="22"/>
      <c r="H18" s="22"/>
      <c r="I18" s="22"/>
      <c r="J18" s="22"/>
      <c r="K18" s="22"/>
      <c r="L18" s="22"/>
      <c r="M18" s="22"/>
      <c r="N18" s="24"/>
    </row>
    <row r="19" spans="1:25" s="4" customFormat="1" ht="89.45" customHeight="1" thickBot="1">
      <c r="A19" s="74"/>
      <c r="B19" s="74"/>
      <c r="C19" s="74"/>
      <c r="D19" s="74"/>
      <c r="E19" s="74"/>
      <c r="F19" s="74"/>
      <c r="G19" s="74"/>
      <c r="H19" s="74"/>
      <c r="I19" s="74"/>
      <c r="J19" s="74"/>
      <c r="K19" s="74"/>
      <c r="L19" s="74"/>
      <c r="M19" s="74"/>
      <c r="N19" s="74"/>
    </row>
    <row r="20" spans="1:25" s="4" customFormat="1" ht="89.25" customHeight="1">
      <c r="A20" s="25" t="s">
        <v>6</v>
      </c>
      <c r="B20" s="26"/>
      <c r="C20" s="27"/>
      <c r="D20" s="26"/>
      <c r="E20" s="26"/>
      <c r="F20" s="26"/>
      <c r="G20" s="26"/>
      <c r="H20" s="26"/>
      <c r="I20" s="26"/>
      <c r="J20" s="75" t="s">
        <v>7</v>
      </c>
      <c r="K20" s="75"/>
      <c r="L20" s="26" t="s">
        <v>8</v>
      </c>
      <c r="M20" s="26" t="s">
        <v>54</v>
      </c>
      <c r="N20" s="26"/>
    </row>
    <row r="21" spans="1:25" s="4" customFormat="1" ht="89.25">
      <c r="A21" s="28" t="s">
        <v>9</v>
      </c>
      <c r="B21" s="29"/>
      <c r="C21" s="30"/>
      <c r="D21" s="29"/>
      <c r="E21" s="29"/>
      <c r="F21" s="29"/>
      <c r="G21" s="29"/>
      <c r="H21" s="29"/>
      <c r="I21" s="29"/>
      <c r="J21" s="67" t="s">
        <v>10</v>
      </c>
      <c r="K21" s="67"/>
      <c r="L21" s="67">
        <v>20061801</v>
      </c>
      <c r="M21" s="67"/>
      <c r="N21" s="68"/>
    </row>
    <row r="22" spans="1:25" s="4" customFormat="1" ht="89.25">
      <c r="A22" s="28" t="s">
        <v>11</v>
      </c>
      <c r="B22" s="29"/>
      <c r="C22" s="30"/>
      <c r="D22" s="29"/>
      <c r="E22" s="29"/>
      <c r="F22" s="29"/>
      <c r="G22" s="29"/>
      <c r="H22" s="29"/>
      <c r="I22" s="29"/>
      <c r="J22" s="67" t="s">
        <v>12</v>
      </c>
      <c r="K22" s="67"/>
      <c r="L22" s="67" t="s">
        <v>13</v>
      </c>
      <c r="M22" s="67"/>
      <c r="N22" s="68"/>
    </row>
    <row r="23" spans="1:25" s="4" customFormat="1" ht="89.25">
      <c r="A23" s="28" t="s">
        <v>14</v>
      </c>
      <c r="B23" s="29"/>
      <c r="C23" s="30"/>
      <c r="D23" s="29"/>
      <c r="E23" s="29"/>
      <c r="F23" s="29"/>
      <c r="G23" s="29"/>
      <c r="H23" s="29"/>
      <c r="I23" s="29"/>
      <c r="J23" s="29" t="s">
        <v>15</v>
      </c>
      <c r="K23" s="29"/>
      <c r="L23" s="29" t="s">
        <v>16</v>
      </c>
      <c r="M23" s="29" t="s">
        <v>43</v>
      </c>
      <c r="N23" s="31"/>
    </row>
    <row r="24" spans="1:25" s="3" customFormat="1" ht="89.25">
      <c r="A24" s="28" t="s">
        <v>17</v>
      </c>
      <c r="B24" s="29"/>
      <c r="C24" s="30"/>
      <c r="D24" s="29"/>
      <c r="E24" s="29"/>
      <c r="F24" s="29"/>
      <c r="G24" s="29"/>
      <c r="H24" s="29"/>
      <c r="I24" s="29"/>
      <c r="J24" s="67" t="s">
        <v>18</v>
      </c>
      <c r="K24" s="67"/>
      <c r="L24" s="67" t="s">
        <v>19</v>
      </c>
      <c r="M24" s="67"/>
      <c r="N24" s="68"/>
    </row>
    <row r="25" spans="1:25" s="3" customFormat="1" ht="89.25" customHeight="1">
      <c r="A25" s="32"/>
      <c r="B25" s="33"/>
      <c r="C25" s="34"/>
      <c r="D25" s="33"/>
      <c r="E25" s="33"/>
      <c r="F25" s="33"/>
      <c r="G25" s="33"/>
      <c r="H25" s="33"/>
      <c r="I25" s="33"/>
      <c r="J25" s="67" t="s">
        <v>20</v>
      </c>
      <c r="K25" s="67"/>
      <c r="L25" s="69" t="s">
        <v>54</v>
      </c>
      <c r="M25" s="69"/>
      <c r="N25" s="70"/>
    </row>
    <row r="26" spans="1:25" s="3" customFormat="1" ht="88.9" customHeight="1">
      <c r="A26" s="32"/>
      <c r="B26" s="33"/>
      <c r="C26" s="34"/>
      <c r="D26" s="33"/>
      <c r="E26" s="33"/>
      <c r="F26" s="33"/>
      <c r="G26" s="33"/>
      <c r="H26" s="33"/>
      <c r="I26" s="33"/>
      <c r="J26" s="29" t="s">
        <v>21</v>
      </c>
      <c r="K26" s="29"/>
      <c r="L26" s="35"/>
      <c r="M26" s="29">
        <v>996791</v>
      </c>
      <c r="N26" s="36"/>
    </row>
    <row r="27" spans="1:25" s="5" customFormat="1" ht="104.25" customHeight="1">
      <c r="A27" s="32"/>
      <c r="B27" s="33"/>
      <c r="C27" s="34"/>
      <c r="D27" s="33"/>
      <c r="E27" s="33"/>
      <c r="F27" s="33"/>
      <c r="G27" s="33"/>
      <c r="H27" s="33"/>
      <c r="I27" s="33"/>
      <c r="J27" s="33"/>
      <c r="K27" s="37"/>
      <c r="L27" s="37"/>
      <c r="M27" s="37"/>
      <c r="N27" s="38"/>
    </row>
    <row r="28" spans="1:25" s="6" customFormat="1" ht="174" customHeight="1">
      <c r="A28" s="10" t="s">
        <v>22</v>
      </c>
      <c r="B28" s="10" t="s">
        <v>23</v>
      </c>
      <c r="C28" s="10" t="s">
        <v>24</v>
      </c>
      <c r="D28" s="10" t="s">
        <v>25</v>
      </c>
      <c r="E28" s="10" t="s">
        <v>26</v>
      </c>
      <c r="F28" s="10" t="s">
        <v>27</v>
      </c>
      <c r="G28" s="10" t="s">
        <v>28</v>
      </c>
      <c r="H28" s="10" t="s">
        <v>39</v>
      </c>
      <c r="I28" s="10" t="s">
        <v>29</v>
      </c>
      <c r="J28" s="10" t="s">
        <v>30</v>
      </c>
      <c r="K28" s="10" t="s">
        <v>31</v>
      </c>
      <c r="L28" s="10"/>
      <c r="M28" s="10" t="s">
        <v>32</v>
      </c>
      <c r="N28" s="10" t="s">
        <v>33</v>
      </c>
    </row>
    <row r="29" spans="1:25" s="46" customFormat="1" ht="92.25">
      <c r="A29" s="47">
        <v>7</v>
      </c>
      <c r="B29" s="48">
        <v>45604</v>
      </c>
      <c r="C29" s="48" t="s">
        <v>44</v>
      </c>
      <c r="D29" s="48" t="s">
        <v>42</v>
      </c>
      <c r="E29" s="48" t="s">
        <v>45</v>
      </c>
      <c r="F29" s="48" t="s">
        <v>46</v>
      </c>
      <c r="G29" s="47" t="s">
        <v>40</v>
      </c>
      <c r="H29" s="47">
        <v>987</v>
      </c>
      <c r="I29" s="48" t="s">
        <v>47</v>
      </c>
      <c r="J29" s="49" t="s">
        <v>41</v>
      </c>
      <c r="K29" s="50">
        <v>36</v>
      </c>
      <c r="L29" s="51"/>
      <c r="M29" s="47">
        <f t="shared" ref="M29:M30" si="0">N29/K29</f>
        <v>1363</v>
      </c>
      <c r="N29" s="49">
        <v>49068</v>
      </c>
      <c r="O29" s="44"/>
      <c r="P29" s="45"/>
      <c r="Q29" s="45"/>
      <c r="R29" s="45"/>
      <c r="S29" s="45"/>
      <c r="T29" s="45"/>
      <c r="U29" s="45"/>
      <c r="V29" s="45"/>
      <c r="W29" s="45"/>
      <c r="X29" s="45"/>
      <c r="Y29" s="45"/>
    </row>
    <row r="30" spans="1:25" s="46" customFormat="1" ht="92.25">
      <c r="A30" s="47">
        <v>8</v>
      </c>
      <c r="B30" s="48">
        <v>45604</v>
      </c>
      <c r="C30" s="48" t="s">
        <v>48</v>
      </c>
      <c r="D30" s="48" t="s">
        <v>42</v>
      </c>
      <c r="E30" s="48" t="s">
        <v>49</v>
      </c>
      <c r="F30" s="48" t="s">
        <v>50</v>
      </c>
      <c r="G30" s="47" t="s">
        <v>40</v>
      </c>
      <c r="H30" s="47">
        <v>4243</v>
      </c>
      <c r="I30" s="48" t="s">
        <v>51</v>
      </c>
      <c r="J30" s="49" t="s">
        <v>41</v>
      </c>
      <c r="K30" s="50">
        <v>35.869999999999997</v>
      </c>
      <c r="L30" s="51"/>
      <c r="M30" s="47">
        <f t="shared" si="0"/>
        <v>1363</v>
      </c>
      <c r="N30" s="49">
        <v>48890.81</v>
      </c>
      <c r="O30" s="44"/>
      <c r="P30" s="45"/>
      <c r="Q30" s="45"/>
      <c r="R30" s="45"/>
      <c r="S30" s="45"/>
      <c r="T30" s="45"/>
      <c r="U30" s="45"/>
      <c r="V30" s="45"/>
      <c r="W30" s="45"/>
      <c r="X30" s="45"/>
      <c r="Y30" s="45"/>
    </row>
    <row r="31" spans="1:25" s="2" customFormat="1" ht="92.25">
      <c r="A31" s="41"/>
      <c r="B31" s="43"/>
      <c r="C31" s="41"/>
      <c r="D31" s="41"/>
      <c r="E31" s="41"/>
      <c r="F31" s="41"/>
      <c r="G31" s="41"/>
      <c r="H31" s="41"/>
      <c r="I31" s="41"/>
      <c r="J31" s="18"/>
      <c r="K31" s="41"/>
      <c r="L31" s="42"/>
      <c r="M31" s="41"/>
      <c r="N31" s="41"/>
      <c r="O31" s="15"/>
      <c r="P31" s="1"/>
      <c r="Q31" s="1"/>
      <c r="R31" s="1"/>
      <c r="S31" s="1"/>
      <c r="T31" s="1"/>
      <c r="U31" s="1"/>
      <c r="V31" s="1"/>
      <c r="W31" s="1"/>
      <c r="X31" s="1"/>
      <c r="Y31" s="1"/>
    </row>
    <row r="32" spans="1:25" s="7" customFormat="1" ht="321.75" customHeight="1">
      <c r="A32" s="52" t="s">
        <v>34</v>
      </c>
      <c r="B32" s="53"/>
      <c r="C32" s="39"/>
      <c r="D32" s="17"/>
      <c r="E32" s="17"/>
      <c r="F32" s="39"/>
      <c r="G32" s="17"/>
      <c r="H32" s="41"/>
      <c r="I32" s="40"/>
      <c r="J32" s="13"/>
      <c r="K32" s="14">
        <f>SUM(K29:K31)</f>
        <v>71.87</v>
      </c>
      <c r="L32" s="13"/>
      <c r="M32" s="39"/>
      <c r="N32" s="14">
        <f>SUM(N29:N31)</f>
        <v>97958.81</v>
      </c>
    </row>
    <row r="33" spans="1:15" s="7" customFormat="1" ht="321.75" customHeight="1">
      <c r="A33" s="52"/>
      <c r="B33" s="52"/>
      <c r="C33" s="52"/>
      <c r="D33" s="52"/>
      <c r="E33" s="52"/>
      <c r="F33" s="52"/>
      <c r="G33" s="52"/>
      <c r="H33" s="52"/>
      <c r="I33" s="52"/>
      <c r="J33" s="52"/>
      <c r="K33" s="52"/>
      <c r="L33" s="10"/>
      <c r="M33" s="16" t="s">
        <v>35</v>
      </c>
      <c r="N33" s="11">
        <f>+N32*12%</f>
        <v>11755.057199999999</v>
      </c>
    </row>
    <row r="34" spans="1:15" s="7" customFormat="1" ht="216.75" customHeight="1">
      <c r="A34" s="52" t="s">
        <v>52</v>
      </c>
      <c r="B34" s="54"/>
      <c r="C34" s="54"/>
      <c r="D34" s="54"/>
      <c r="E34" s="54"/>
      <c r="F34" s="54"/>
      <c r="G34" s="54"/>
      <c r="H34" s="54"/>
      <c r="I34" s="54"/>
      <c r="J34" s="54"/>
      <c r="K34" s="54"/>
      <c r="L34" s="54"/>
      <c r="M34" s="16"/>
      <c r="N34" s="11"/>
    </row>
    <row r="35" spans="1:15" s="7" customFormat="1" ht="216.75" customHeight="1" thickBot="1">
      <c r="A35" s="55" t="s">
        <v>53</v>
      </c>
      <c r="B35" s="56"/>
      <c r="C35" s="56"/>
      <c r="D35" s="56"/>
      <c r="E35" s="56"/>
      <c r="F35" s="56"/>
      <c r="G35" s="56"/>
      <c r="H35" s="56"/>
      <c r="I35" s="56"/>
      <c r="J35" s="56"/>
      <c r="K35" s="56"/>
      <c r="L35" s="56"/>
      <c r="M35" s="16" t="s">
        <v>36</v>
      </c>
      <c r="N35" s="11">
        <f>+N32+N33</f>
        <v>109713.86719999999</v>
      </c>
    </row>
    <row r="36" spans="1:15" s="7" customFormat="1" ht="89.25" customHeight="1">
      <c r="A36" s="58" t="s">
        <v>38</v>
      </c>
      <c r="B36" s="59"/>
      <c r="C36" s="59"/>
      <c r="D36" s="59"/>
      <c r="E36" s="59"/>
      <c r="F36" s="59"/>
      <c r="G36" s="59"/>
      <c r="H36" s="59"/>
      <c r="I36" s="59"/>
      <c r="J36" s="59"/>
      <c r="K36" s="59"/>
      <c r="L36" s="59"/>
      <c r="M36" s="59"/>
      <c r="N36" s="59"/>
      <c r="O36" s="60"/>
    </row>
    <row r="37" spans="1:15" s="7" customFormat="1" ht="89.25" customHeight="1">
      <c r="A37" s="61"/>
      <c r="B37" s="62"/>
      <c r="C37" s="62"/>
      <c r="D37" s="62"/>
      <c r="E37" s="62"/>
      <c r="F37" s="62"/>
      <c r="G37" s="62"/>
      <c r="H37" s="62"/>
      <c r="I37" s="62"/>
      <c r="J37" s="62"/>
      <c r="K37" s="62"/>
      <c r="L37" s="62"/>
      <c r="M37" s="62"/>
      <c r="N37" s="62"/>
      <c r="O37" s="63"/>
    </row>
    <row r="38" spans="1:15" s="7" customFormat="1" ht="89.25" customHeight="1">
      <c r="A38" s="61"/>
      <c r="B38" s="62"/>
      <c r="C38" s="62"/>
      <c r="D38" s="62"/>
      <c r="E38" s="62"/>
      <c r="F38" s="62"/>
      <c r="G38" s="62"/>
      <c r="H38" s="62"/>
      <c r="I38" s="62"/>
      <c r="J38" s="62"/>
      <c r="K38" s="62"/>
      <c r="L38" s="62"/>
      <c r="M38" s="62"/>
      <c r="N38" s="62"/>
      <c r="O38" s="63"/>
    </row>
    <row r="39" spans="1:15" ht="89.25" customHeight="1" thickBot="1">
      <c r="A39" s="64"/>
      <c r="B39" s="65"/>
      <c r="C39" s="65"/>
      <c r="D39" s="65"/>
      <c r="E39" s="65"/>
      <c r="F39" s="65"/>
      <c r="G39" s="65"/>
      <c r="H39" s="65"/>
      <c r="I39" s="65"/>
      <c r="J39" s="65"/>
      <c r="K39" s="65"/>
      <c r="L39" s="65"/>
      <c r="M39" s="65"/>
      <c r="N39" s="65"/>
      <c r="O39" s="66"/>
    </row>
    <row r="40" spans="1:15" ht="89.25" customHeight="1">
      <c r="L40" s="7"/>
    </row>
    <row r="41" spans="1:15" ht="89.25" customHeight="1">
      <c r="J41" t="s">
        <v>37</v>
      </c>
      <c r="K41" s="7"/>
    </row>
    <row r="42" spans="1:15" ht="89.25" customHeight="1">
      <c r="K42" s="7"/>
    </row>
    <row r="43" spans="1:15" ht="89.25" customHeight="1">
      <c r="M43" s="12" t="s">
        <v>13</v>
      </c>
    </row>
    <row r="44" spans="1:15" ht="89.25" customHeight="1">
      <c r="C44" s="57"/>
      <c r="D44" s="57"/>
      <c r="E44" s="57"/>
      <c r="F44" s="57"/>
      <c r="G44" s="57"/>
      <c r="H44" s="57"/>
      <c r="I44" s="57"/>
      <c r="J44" s="57"/>
      <c r="K44" s="57"/>
      <c r="L44" s="57"/>
      <c r="M44" s="57"/>
    </row>
  </sheetData>
  <mergeCells count="25">
    <mergeCell ref="J6:N6"/>
    <mergeCell ref="A13:N13"/>
    <mergeCell ref="A14:N14"/>
    <mergeCell ref="A15:N15"/>
    <mergeCell ref="A16:N16"/>
    <mergeCell ref="D9:F9"/>
    <mergeCell ref="D3:F7"/>
    <mergeCell ref="J8:N9"/>
    <mergeCell ref="A17:N17"/>
    <mergeCell ref="A19:N19"/>
    <mergeCell ref="J20:K20"/>
    <mergeCell ref="J21:K21"/>
    <mergeCell ref="L21:N21"/>
    <mergeCell ref="J22:K22"/>
    <mergeCell ref="L22:N22"/>
    <mergeCell ref="J24:K24"/>
    <mergeCell ref="L24:N24"/>
    <mergeCell ref="J25:K25"/>
    <mergeCell ref="L25:N25"/>
    <mergeCell ref="A32:B32"/>
    <mergeCell ref="A33:K33"/>
    <mergeCell ref="A34:L34"/>
    <mergeCell ref="A35:L35"/>
    <mergeCell ref="C44:M44"/>
    <mergeCell ref="A36:O39"/>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2024-11-14T06:39:37Z</cp:lastPrinted>
  <dcterms:created xsi:type="dcterms:W3CDTF">2006-09-16T00:00:00Z</dcterms:created>
  <dcterms:modified xsi:type="dcterms:W3CDTF">2024-11-19T09:49:46Z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
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defaultThemeVersion="124226"/>
  <mc:AlternateContent xmlns:mc="http://schemas.openxmlformats.org/markup-compatibility/2006">
    <mc:Choice Requires="x15">
      <x15ac:absPath xmlns:x15ac="http://schemas.microsoft.com/office/spreadsheetml/2010/11/ac" url="C:\Users\Dell\Downloads\"/>
    </mc:Choice>
  </mc:AlternateContent>
  <xr:revisionPtr revIDLastSave="0" documentId="13_ncr:1_{CB58A31C-F9A8-4DFD-9617-E9DC889E6393}" xr6:coauthVersionLast="47" xr6:coauthVersionMax="47" xr10:uidLastSave="{00000000-0000-0000-0000-000000000000}"/>
  <bookViews>
    <workbookView xWindow="-120" yWindow="-120" windowWidth="20730" windowHeight="11040" activeTab="1" xr2:uid="{00000000-000D-0000-FFFF-FFFF00000000}"/>
  </bookViews>
  <sheets>
    <sheet name="Sheet2" sheetId="5" r:id="rId1"/>
    <sheet name="bill5" sheetId="3" r:id="rId2"/>
  </sheets>
  <definedNames>
    <definedName name="_xlnm.Print_Area" localSheetId="1">bill5!$A$2:$M$58</definedName>
  </definedNames>
  <calcPr calcId="181029"/>
</workbook>
</file>

<file path=xl/calcChain.xml><?xml version="1.0" encoding="utf-8"?>
<calcChain xmlns="http://schemas.openxmlformats.org/spreadsheetml/2006/main">
  <c r="M46" i="3" l="1"/>
  <c r="M47" i="3" s="1"/>
  <c r="M49" i="3" l="1"/>
  <c r="K46" i="3"/>
</calcChain>
</file>

<file path=xl/sharedStrings.xml><?xml version="1.0" encoding="utf-8"?>
<sst xmlns="http://schemas.openxmlformats.org/spreadsheetml/2006/main" count="72" uniqueCount="60">
  <si>
    <t>CIN</t>
  </si>
  <si>
    <t xml:space="preserve">TAX INVOICE </t>
  </si>
  <si>
    <t>NEAR RAZA MASJID,WARD NO 2, GADCHANDUR, GADCHANDUR,442908.</t>
  </si>
  <si>
    <t>PAN: ADRPA8327Q     GSTN :27ADRPA8327Q1ZT       STATE :MAHARASTRA        STATE CODE 27</t>
  </si>
  <si>
    <t>TRANSPORTATION FREIGHT BILL</t>
  </si>
  <si>
    <t>ORIGINAL FOR RECEIPEINT</t>
  </si>
  <si>
    <t xml:space="preserve">M/s JSW CEMENTS LTD.     </t>
  </si>
  <si>
    <t xml:space="preserve">Generation Date:- </t>
  </si>
  <si>
    <t xml:space="preserve">VIJAYANAGAR WORKS </t>
  </si>
  <si>
    <t xml:space="preserve">Vendor Code:-  </t>
  </si>
  <si>
    <t xml:space="preserve">PO-VIDYANAGAR,     </t>
  </si>
  <si>
    <t xml:space="preserve">Vendor Name:- </t>
  </si>
  <si>
    <t>KTC BULK MOVERS</t>
  </si>
  <si>
    <t xml:space="preserve">TORANAGALLU  </t>
  </si>
  <si>
    <t>Bill No:-</t>
  </si>
  <si>
    <t xml:space="preserve">GSTN:- 29AABCJ6731B1ZS </t>
  </si>
  <si>
    <t>EPOD Status:-</t>
  </si>
  <si>
    <t xml:space="preserve">Bill Date:- </t>
  </si>
  <si>
    <t>SAC Code:-</t>
  </si>
  <si>
    <t>SL.NO</t>
  </si>
  <si>
    <t>Supply inv Date</t>
  </si>
  <si>
    <t>Consignee Name</t>
  </si>
  <si>
    <t>Destination</t>
  </si>
  <si>
    <t>Supply inv.No</t>
  </si>
  <si>
    <t>Vehicle Reg.No</t>
  </si>
  <si>
    <t>Shipping Type</t>
  </si>
  <si>
    <t>Delivery No</t>
  </si>
  <si>
    <t>Desc</t>
  </si>
  <si>
    <t>Qty</t>
  </si>
  <si>
    <t>Rate/Mt</t>
  </si>
  <si>
    <t>Total Value</t>
  </si>
  <si>
    <t>Total</t>
  </si>
  <si>
    <t>IGST12%</t>
  </si>
  <si>
    <t>Grand Total</t>
  </si>
  <si>
    <t xml:space="preserve">    </t>
  </si>
  <si>
    <r>
      <rPr>
        <b/>
        <u/>
        <sz val="48"/>
        <color theme="1"/>
        <rFont val="Calibri"/>
        <family val="2"/>
        <scheme val="minor"/>
      </rPr>
      <t>Declaration :</t>
    </r>
    <r>
      <rPr>
        <b/>
        <sz val="48"/>
        <color theme="1"/>
        <rFont val="Calibri"/>
        <family val="2"/>
        <scheme val="minor"/>
      </rPr>
      <t xml:space="preserve">
1) I/we have taken registration under the CGST Act,2017 and have  exercised the option to pay tax on services of GTA in relation to transport of goods  supplied by us during the Financial Year 2023-24 under the forward charge.
2) i/We hereby declare that though our aggregate turnover in any preceding financial year from 2017-18 onwards is more than the aggregate turnover notified under sub-rule (4) of rule 48,  we are not required to prepare an invoice in terms of the provisions of the said sub-rule.</t>
    </r>
  </si>
  <si>
    <t xml:space="preserve">LR NO </t>
  </si>
  <si>
    <t>16W</t>
  </si>
  <si>
    <t>GGBS</t>
  </si>
  <si>
    <t>MIYAPUR</t>
  </si>
  <si>
    <t xml:space="preserve"> N</t>
  </si>
  <si>
    <t>MH34BG6590</t>
  </si>
  <si>
    <t>MH34BG6932</t>
  </si>
  <si>
    <t>VENTURA ESTATE DEVELOPERS</t>
  </si>
  <si>
    <t>HYDERABAD</t>
  </si>
  <si>
    <t xml:space="preserve"> 25-NOV-2024   </t>
  </si>
  <si>
    <t>KLC CONSTRUCTIONS</t>
  </si>
  <si>
    <t>3020755089</t>
  </si>
  <si>
    <t>4021152129</t>
  </si>
  <si>
    <t>3020757016</t>
  </si>
  <si>
    <t>TS01UC2080</t>
  </si>
  <si>
    <t>4021153149</t>
  </si>
  <si>
    <t>3020758333</t>
  </si>
  <si>
    <t>4021155336</t>
  </si>
  <si>
    <t>3020754555</t>
  </si>
  <si>
    <t>TS01UC2128</t>
  </si>
  <si>
    <t>4021154138</t>
  </si>
  <si>
    <t xml:space="preserve">GST IN WORDS  :- Rupees Twenty-three Thousand Eight Hundred Thirty-four And Ninety-five Paise Only
</t>
  </si>
  <si>
    <t xml:space="preserve"> AMOUNT IN WORDS:- Rupees Two Lakh Twenty-two Thousand Four Hundred Fifty-nine And Fifty-four Paise Only</t>
  </si>
  <si>
    <t>KTC/24-25/J-140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</si>
</sst>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charset val="134"/>
      <scheme val="minor"/>
    </font>
    <font>
      <sz val="65"/>
      <color theme="1"/>
      <name val="Calibri"/>
      <family val="2"/>
      <scheme val="minor"/>
    </font>
    <font>
      <sz val="72"/>
      <color theme="1"/>
      <name val="Calibri"/>
      <family val="2"/>
      <scheme val="minor"/>
    </font>
    <font>
      <sz val="45"/>
      <color theme="1"/>
      <name val="Calibri"/>
      <family val="2"/>
      <scheme val="minor"/>
    </font>
    <font>
      <sz val="70"/>
      <color theme="1"/>
      <name val="Calibri"/>
      <family val="2"/>
      <scheme val="minor"/>
    </font>
    <font>
      <sz val="36"/>
      <color theme="1"/>
      <name val="Calibri"/>
      <family val="2"/>
      <scheme val="minor"/>
    </font>
    <font>
      <sz val="60"/>
      <color theme="1"/>
      <name val="Calibri"/>
      <family val="2"/>
      <scheme val="minor"/>
    </font>
    <font>
      <b/>
      <sz val="140"/>
      <color rgb="FF00B050"/>
      <name val="Calibri"/>
      <family val="2"/>
      <scheme val="minor"/>
    </font>
    <font>
      <b/>
      <sz val="70"/>
      <color rgb="FF00B050"/>
      <name val="Calibri"/>
      <family val="2"/>
      <scheme val="minor"/>
    </font>
    <font>
      <sz val="80"/>
      <color rgb="FF00B050"/>
      <name val="Calibri"/>
      <family val="2"/>
      <scheme val="minor"/>
    </font>
    <font>
      <sz val="11"/>
      <color rgb="FF00B050"/>
      <name val="Calibri"/>
      <family val="2"/>
      <scheme val="minor"/>
    </font>
    <font>
      <b/>
      <sz val="65"/>
      <name val="Calibri"/>
      <family val="2"/>
      <scheme val="minor"/>
    </font>
    <font>
      <b/>
      <sz val="65"/>
      <color theme="1"/>
      <name val="Calibri"/>
      <family val="2"/>
      <scheme val="minor"/>
    </font>
    <font>
      <b/>
      <sz val="65"/>
      <color rgb="FF000000"/>
      <name val="Calibri"/>
      <family val="2"/>
      <scheme val="minor"/>
    </font>
    <font>
      <b/>
      <sz val="48"/>
      <color theme="1"/>
      <name val="Calibri"/>
      <family val="2"/>
      <scheme val="minor"/>
    </font>
    <font>
      <b/>
      <u/>
      <sz val="48"/>
      <color theme="1"/>
      <name val="Calibri"/>
      <family val="2"/>
      <scheme val="minor"/>
    </font>
    <font>
      <b/>
      <sz val="72"/>
      <color theme="1"/>
      <name val="Calibri"/>
      <family val="2"/>
      <scheme val="minor"/>
    </font>
    <font>
      <b/>
      <sz val="11"/>
      <color theme="1"/>
      <name val="Calibri"/>
      <family val="2"/>
      <scheme val="minor"/>
    </font>
    <font>
      <b/>
      <sz val="80"/>
      <color rgb="FF00B050"/>
      <name val="Calibri"/>
      <family val="2"/>
      <scheme val="minor"/>
    </font>
    <font>
      <b/>
      <sz val="70"/>
      <color theme="1"/>
      <name val="Calibri"/>
      <family val="2"/>
      <scheme val="minor"/>
    </font>
    <font>
      <b/>
      <sz val="45"/>
      <color theme="1"/>
      <name val="Calibri"/>
      <family val="2"/>
      <scheme val="minor"/>
    </font>
  </fonts>
  <fills count="3">
    <fill>
      <patternFill patternType="none"/>
    </fill>
    <fill>
      <patternFill patternType="gray125"/>
    </fill>
    <fill>
      <patternFill patternType="solid">
        <fgColor theme="0"/>
        <bgColor indexed="64"/>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medium">
        <color auto="1"/>
      </right>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bottom style="thin">
        <color auto="1"/>
      </bottom>
      <diagonal/>
    </border>
  </borders>
  <cellStyleXfs count="1">
    <xf numFmtId="0" fontId="0" fillId="0" borderId="0"/>
  </cellStyleXfs>
  <cellXfs count="72">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horizontal="left" vertical="top"/>
    </xf>
    <xf numFmtId="0" fontId="5" fillId="0" borderId="0" xfId="0" applyFont="1"/>
    <xf numFmtId="0" fontId="6" fillId="0" borderId="0" xfId="0" applyFont="1"/>
    <xf numFmtId="0" fontId="4" fillId="0" borderId="0" xfId="0" applyFont="1"/>
    <xf numFmtId="0" fontId="0" fillId="0" borderId="0" xfId="0" applyAlignment="1">
      <alignment wrapText="1"/>
    </xf>
    <xf numFmtId="0" fontId="10" fillId="0" borderId="0" xfId="0" applyFont="1"/>
    <xf numFmtId="0" fontId="12" fillId="0" borderId="7" xfId="0" applyFont="1" applyBorder="1" applyAlignment="1">
      <alignment horizontal="center" vertical="center" wrapText="1"/>
    </xf>
    <xf numFmtId="4" fontId="13" fillId="0" borderId="7" xfId="0" applyNumberFormat="1" applyFont="1" applyBorder="1" applyAlignment="1">
      <alignment horizontal="center" vertical="center" shrinkToFit="1"/>
    </xf>
    <xf numFmtId="0" fontId="16" fillId="0" borderId="0" xfId="0" applyFont="1"/>
    <xf numFmtId="0" fontId="12" fillId="0" borderId="14" xfId="0" applyFont="1" applyBorder="1" applyAlignment="1">
      <alignment horizontal="center" vertical="center" wrapText="1"/>
    </xf>
    <xf numFmtId="4" fontId="13" fillId="0" borderId="14" xfId="0" applyNumberFormat="1" applyFont="1" applyBorder="1" applyAlignment="1">
      <alignment horizontal="center" vertical="center" shrinkToFit="1"/>
    </xf>
    <xf numFmtId="0" fontId="1" fillId="0" borderId="0" xfId="0" applyFont="1" applyAlignment="1">
      <alignment horizontal="center"/>
    </xf>
    <xf numFmtId="0" fontId="11" fillId="0" borderId="7" xfId="0" applyFont="1" applyBorder="1" applyAlignment="1">
      <alignment horizontal="center" vertical="center" wrapText="1"/>
    </xf>
    <xf numFmtId="0" fontId="11" fillId="0" borderId="14" xfId="0" applyFont="1" applyBorder="1" applyAlignment="1">
      <alignment horizontal="center" vertical="center" wrapText="1"/>
    </xf>
    <xf numFmtId="1" fontId="12" fillId="0" borderId="7" xfId="0" applyNumberFormat="1" applyFont="1" applyBorder="1" applyAlignment="1">
      <alignment horizontal="center" vertical="center"/>
    </xf>
    <xf numFmtId="0" fontId="17" fillId="0" borderId="0" xfId="0" applyFont="1"/>
    <xf numFmtId="0" fontId="17" fillId="0" borderId="0" xfId="0" applyFont="1" applyAlignment="1">
      <alignment wrapText="1"/>
    </xf>
    <xf numFmtId="0" fontId="19" fillId="0" borderId="1" xfId="0" applyFont="1" applyBorder="1" applyAlignment="1">
      <alignment horizontal="center"/>
    </xf>
    <xf numFmtId="0" fontId="19" fillId="0" borderId="2" xfId="0" applyFont="1" applyBorder="1" applyAlignment="1">
      <alignment horizontal="center"/>
    </xf>
    <xf numFmtId="0" fontId="19" fillId="0" borderId="2" xfId="0" applyFont="1" applyBorder="1" applyAlignment="1">
      <alignment horizontal="center" wrapText="1"/>
    </xf>
    <xf numFmtId="0" fontId="19" fillId="0" borderId="8" xfId="0" applyFont="1" applyBorder="1" applyAlignment="1">
      <alignment horizontal="center"/>
    </xf>
    <xf numFmtId="0" fontId="19" fillId="0" borderId="4" xfId="0" applyFont="1" applyBorder="1" applyAlignment="1">
      <alignment horizontal="left" vertical="top"/>
    </xf>
    <xf numFmtId="0" fontId="19" fillId="0" borderId="5" xfId="0" applyFont="1" applyBorder="1" applyAlignment="1">
      <alignment horizontal="left" vertical="top"/>
    </xf>
    <xf numFmtId="0" fontId="19" fillId="0" borderId="5" xfId="0" applyFont="1" applyBorder="1" applyAlignment="1">
      <alignment horizontal="left" vertical="top" wrapText="1"/>
    </xf>
    <xf numFmtId="0" fontId="19" fillId="0" borderId="6" xfId="0" applyFont="1" applyBorder="1" applyAlignment="1">
      <alignment horizontal="left" vertical="top"/>
    </xf>
    <xf numFmtId="0" fontId="19" fillId="0" borderId="0" xfId="0" applyFont="1" applyAlignment="1">
      <alignment horizontal="left" vertical="top"/>
    </xf>
    <xf numFmtId="0" fontId="19" fillId="0" borderId="0" xfId="0" applyFont="1" applyAlignment="1">
      <alignment horizontal="left" vertical="top" wrapText="1"/>
    </xf>
    <xf numFmtId="0" fontId="19" fillId="0" borderId="9" xfId="0" applyFont="1" applyBorder="1" applyAlignment="1">
      <alignment horizontal="left" vertical="top"/>
    </xf>
    <xf numFmtId="0" fontId="20" fillId="0" borderId="6" xfId="0" applyFont="1" applyBorder="1"/>
    <xf numFmtId="0" fontId="20" fillId="0" borderId="0" xfId="0" applyFont="1"/>
    <xf numFmtId="0" fontId="20" fillId="0" borderId="0" xfId="0" applyFont="1" applyAlignment="1">
      <alignment wrapText="1"/>
    </xf>
    <xf numFmtId="15" fontId="19" fillId="0" borderId="9" xfId="0" applyNumberFormat="1" applyFont="1" applyBorder="1" applyAlignment="1">
      <alignment horizontal="left" vertical="top"/>
    </xf>
    <xf numFmtId="0" fontId="19" fillId="0" borderId="0" xfId="0" applyFont="1"/>
    <xf numFmtId="0" fontId="20" fillId="0" borderId="9" xfId="0" applyFont="1" applyBorder="1"/>
    <xf numFmtId="0" fontId="12" fillId="0" borderId="14" xfId="0" applyFont="1" applyBorder="1" applyAlignment="1">
      <alignment horizontal="center" vertical="center"/>
    </xf>
    <xf numFmtId="0" fontId="17" fillId="0" borderId="0" xfId="0" applyFont="1" applyAlignment="1">
      <alignment vertical="top"/>
    </xf>
    <xf numFmtId="0" fontId="12" fillId="0" borderId="7" xfId="0" applyFont="1" applyBorder="1" applyAlignment="1">
      <alignment horizontal="center" vertical="center"/>
    </xf>
    <xf numFmtId="14" fontId="12" fillId="0" borderId="7" xfId="0" applyNumberFormat="1" applyFont="1" applyBorder="1" applyAlignment="1">
      <alignment horizontal="center" vertical="center"/>
    </xf>
    <xf numFmtId="0" fontId="17" fillId="0" borderId="7" xfId="0" applyFont="1" applyBorder="1" applyAlignment="1">
      <alignment horizontal="center" vertical="center"/>
    </xf>
    <xf numFmtId="4" fontId="13" fillId="2" borderId="7" xfId="0" applyNumberFormat="1" applyFont="1" applyFill="1" applyBorder="1" applyAlignment="1">
      <alignment horizontal="center" vertical="center" shrinkToFit="1"/>
    </xf>
    <xf numFmtId="0" fontId="11" fillId="0" borderId="7"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7" xfId="0" applyFont="1" applyBorder="1" applyAlignment="1">
      <alignment horizontal="center" vertical="center"/>
    </xf>
    <xf numFmtId="0" fontId="12" fillId="0" borderId="7" xfId="0" applyFont="1" applyBorder="1" applyAlignment="1">
      <alignment horizontal="center" vertical="center"/>
    </xf>
    <xf numFmtId="0" fontId="1" fillId="0" borderId="7" xfId="0" applyFont="1" applyBorder="1" applyAlignment="1">
      <alignment horizontal="center" vertical="center"/>
    </xf>
    <xf numFmtId="0" fontId="1" fillId="0" borderId="0" xfId="0" applyFont="1" applyAlignment="1">
      <alignment horizontal="center" wrapText="1"/>
    </xf>
    <xf numFmtId="0" fontId="14" fillId="0" borderId="4" xfId="0" applyFont="1" applyBorder="1" applyAlignment="1">
      <alignment horizontal="left" vertical="top" wrapText="1"/>
    </xf>
    <xf numFmtId="0" fontId="14" fillId="0" borderId="5" xfId="0" applyFont="1" applyBorder="1" applyAlignment="1">
      <alignment horizontal="left" vertical="top" wrapText="1"/>
    </xf>
    <xf numFmtId="0" fontId="14" fillId="0" borderId="10" xfId="0" applyFont="1" applyBorder="1" applyAlignment="1">
      <alignment horizontal="left" vertical="top" wrapText="1"/>
    </xf>
    <xf numFmtId="0" fontId="14" fillId="0" borderId="6" xfId="0" applyFont="1" applyBorder="1" applyAlignment="1">
      <alignment horizontal="left" vertical="top" wrapText="1"/>
    </xf>
    <xf numFmtId="0" fontId="14" fillId="0" borderId="0" xfId="0" applyFont="1" applyAlignment="1">
      <alignment horizontal="left" vertical="top" wrapText="1"/>
    </xf>
    <xf numFmtId="0" fontId="14" fillId="0" borderId="9" xfId="0" applyFont="1" applyBorder="1" applyAlignment="1">
      <alignment horizontal="left" vertical="top" wrapText="1"/>
    </xf>
    <xf numFmtId="0" fontId="14" fillId="0" borderId="11" xfId="0" applyFont="1" applyBorder="1" applyAlignment="1">
      <alignment horizontal="left" vertical="top" wrapText="1"/>
    </xf>
    <xf numFmtId="0" fontId="14" fillId="0" borderId="12" xfId="0" applyFont="1" applyBorder="1" applyAlignment="1">
      <alignment horizontal="left" vertical="top" wrapText="1"/>
    </xf>
    <xf numFmtId="0" fontId="14" fillId="0" borderId="13" xfId="0" applyFont="1" applyBorder="1" applyAlignment="1">
      <alignment horizontal="left" vertical="top" wrapText="1"/>
    </xf>
    <xf numFmtId="0" fontId="19" fillId="0" borderId="0" xfId="0" applyFont="1" applyAlignment="1">
      <alignment horizontal="left" vertical="top"/>
    </xf>
    <xf numFmtId="15" fontId="19" fillId="0" borderId="0" xfId="0" applyNumberFormat="1" applyFont="1" applyAlignment="1">
      <alignment horizontal="left" vertical="top"/>
    </xf>
    <xf numFmtId="15" fontId="19" fillId="0" borderId="9" xfId="0" applyNumberFormat="1" applyFont="1" applyBorder="1" applyAlignment="1">
      <alignment horizontal="left" vertical="top"/>
    </xf>
    <xf numFmtId="0" fontId="19" fillId="0" borderId="9" xfId="0" applyFont="1" applyBorder="1" applyAlignment="1">
      <alignment horizontal="left" vertical="top"/>
    </xf>
    <xf numFmtId="0" fontId="19" fillId="0" borderId="1" xfId="0" applyFont="1" applyBorder="1" applyAlignment="1">
      <alignment horizontal="center"/>
    </xf>
    <xf numFmtId="0" fontId="19" fillId="0" borderId="2" xfId="0" applyFont="1" applyBorder="1" applyAlignment="1">
      <alignment horizontal="center"/>
    </xf>
    <xf numFmtId="0" fontId="19" fillId="0" borderId="8" xfId="0" applyFont="1" applyBorder="1" applyAlignment="1">
      <alignment horizontal="center"/>
    </xf>
    <xf numFmtId="0" fontId="20" fillId="0" borderId="3" xfId="0" applyFont="1" applyBorder="1" applyAlignment="1">
      <alignment horizontal="center"/>
    </xf>
    <xf numFmtId="0" fontId="19" fillId="0" borderId="5" xfId="0" applyFont="1" applyBorder="1" applyAlignment="1">
      <alignment horizontal="left" vertical="top"/>
    </xf>
    <xf numFmtId="0" fontId="9" fillId="0" borderId="0" xfId="0" applyFont="1" applyAlignment="1">
      <alignment horizontal="center" vertical="center"/>
    </xf>
    <xf numFmtId="0" fontId="8" fillId="0" borderId="0" xfId="0" applyFont="1" applyAlignment="1">
      <alignment horizontal="center" vertical="center"/>
    </xf>
    <xf numFmtId="0" fontId="7" fillId="0" borderId="0" xfId="0" applyFont="1" applyAlignment="1">
      <alignment horizontal="center" vertical="center"/>
    </xf>
    <xf numFmtId="0" fontId="18"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zoomScale="175" zoomScaleNormal="175" workbookViewId="0">
      <selection activeCell="A13" sqref="A13"/>
    </sheetView>
  </sheetViews>
  <sheetFormatPr defaultRowHeight="15"/>
  <cols>
    <col min="1" max="1" width="13.42578125" customWidth="1"/>
  </cols>
  <sheetData>
    <row r="1" spans="1:1">
      <c r="A1" s="42">
        <v>3020754698</v>
      </c>
    </row>
    <row r="2" spans="1:1">
      <c r="A2" s="42">
        <v>3020760875</v>
      </c>
    </row>
    <row r="3" spans="1:1">
      <c r="A3" s="42">
        <v>3020755288</v>
      </c>
    </row>
    <row r="4" spans="1:1">
      <c r="A4" s="42">
        <v>3020760103</v>
      </c>
    </row>
    <row r="5" spans="1:1">
      <c r="A5" s="42">
        <v>3020761159</v>
      </c>
    </row>
    <row r="6" spans="1:1">
      <c r="A6" s="42">
        <v>3020762217</v>
      </c>
    </row>
    <row r="7" spans="1:1">
      <c r="A7" s="42">
        <v>3020742150</v>
      </c>
    </row>
    <row r="8" spans="1:1">
      <c r="A8" s="42">
        <v>3020762413</v>
      </c>
    </row>
    <row r="9" spans="1:1">
      <c r="A9" s="42">
        <v>3020762333</v>
      </c>
    </row>
    <row r="10" spans="1:1">
      <c r="A10" s="42">
        <v>3020758486</v>
      </c>
    </row>
    <row r="11" spans="1:1">
      <c r="A11" s="42">
        <v>3020742079</v>
      </c>
    </row>
    <row r="12" spans="1:1">
      <c r="A12" s="42">
        <v>3020762226</v>
      </c>
    </row>
    <row r="13" spans="1:1">
      <c r="A13" s="42">
        <v>3020761848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X58"/>
  <sheetViews>
    <sheetView tabSelected="1" view="pageBreakPreview" topLeftCell="F26" zoomScale="40" zoomScaleNormal="10" zoomScaleSheetLayoutView="40" workbookViewId="0">
      <selection activeCell="I29" sqref="I29:I32"/>
    </sheetView>
  </sheetViews>
  <sheetFormatPr defaultColWidth="9" defaultRowHeight="15"/>
  <cols>
    <col min="1" max="1" width="30.140625" customWidth="1"/>
    <col min="2" max="2" width="74.42578125" customWidth="1"/>
    <col min="3" max="3" width="237.140625" style="8" customWidth="1"/>
    <col min="4" max="4" width="109.85546875" customWidth="1"/>
    <col min="5" max="5" width="75.140625" customWidth="1"/>
    <col min="6" max="6" width="75.85546875" customWidth="1"/>
    <col min="7" max="7" width="49.5703125" customWidth="1"/>
    <col min="8" max="8" width="34.85546875" customWidth="1"/>
    <col min="9" max="9" width="74.28515625" customWidth="1"/>
    <col min="10" max="10" width="46" customWidth="1"/>
    <col min="11" max="11" width="60.140625" customWidth="1"/>
    <col min="12" max="12" width="52.28515625" customWidth="1"/>
    <col min="13" max="13" width="73.42578125" customWidth="1"/>
    <col min="14" max="14" width="9" hidden="1" customWidth="1"/>
  </cols>
  <sheetData>
    <row r="3" spans="1:13" ht="15" customHeight="1">
      <c r="D3" s="70"/>
      <c r="E3" s="70"/>
      <c r="F3" s="70"/>
    </row>
    <row r="4" spans="1:13" ht="15" customHeight="1">
      <c r="D4" s="70"/>
      <c r="E4" s="70"/>
      <c r="F4" s="70"/>
    </row>
    <row r="5" spans="1:13" ht="15" customHeight="1">
      <c r="D5" s="70"/>
      <c r="E5" s="70"/>
      <c r="F5" s="70"/>
    </row>
    <row r="6" spans="1:13" ht="15" customHeight="1">
      <c r="D6" s="70"/>
      <c r="E6" s="70"/>
      <c r="F6" s="70"/>
      <c r="J6" s="68"/>
      <c r="K6" s="68"/>
      <c r="L6" s="68"/>
      <c r="M6" s="68"/>
    </row>
    <row r="7" spans="1:13">
      <c r="D7" s="70"/>
      <c r="E7" s="70"/>
      <c r="F7" s="70"/>
      <c r="J7" s="9"/>
      <c r="K7" s="9"/>
      <c r="L7" s="9"/>
      <c r="M7" s="9"/>
    </row>
    <row r="8" spans="1:13" ht="18.75" customHeight="1">
      <c r="A8" s="19"/>
      <c r="B8" s="19"/>
      <c r="C8" s="20"/>
      <c r="D8" s="19"/>
      <c r="E8" s="19"/>
      <c r="F8" s="19"/>
      <c r="G8" s="19"/>
      <c r="H8" s="19"/>
      <c r="I8" s="19"/>
      <c r="J8" s="71"/>
      <c r="K8" s="71"/>
      <c r="L8" s="71"/>
      <c r="M8" s="71"/>
    </row>
    <row r="9" spans="1:13" ht="15" customHeight="1">
      <c r="A9" s="19"/>
      <c r="B9" s="19"/>
      <c r="C9" s="20"/>
      <c r="D9" s="69"/>
      <c r="E9" s="69"/>
      <c r="F9" s="69"/>
      <c r="G9" s="19"/>
      <c r="H9" s="19"/>
      <c r="I9" s="19"/>
      <c r="J9" s="71"/>
      <c r="K9" s="71"/>
      <c r="L9" s="71"/>
      <c r="M9" s="71"/>
    </row>
    <row r="10" spans="1:13">
      <c r="A10" s="19"/>
      <c r="B10" s="19"/>
      <c r="C10" s="20"/>
      <c r="D10" s="19"/>
      <c r="E10" s="19"/>
      <c r="F10" s="19"/>
      <c r="G10" s="19"/>
      <c r="H10" s="19"/>
      <c r="I10" s="19"/>
      <c r="J10" s="19"/>
      <c r="K10" s="19"/>
      <c r="L10" s="19"/>
      <c r="M10" s="19"/>
    </row>
    <row r="11" spans="1:13">
      <c r="A11" s="19"/>
      <c r="B11" s="19"/>
      <c r="C11" s="20"/>
      <c r="D11" s="19"/>
      <c r="E11" s="19"/>
      <c r="F11" s="19"/>
      <c r="G11" s="19"/>
      <c r="H11" s="19"/>
      <c r="I11" s="19"/>
      <c r="J11" s="19"/>
      <c r="K11" s="19"/>
      <c r="L11" s="19"/>
      <c r="M11" s="19"/>
    </row>
    <row r="12" spans="1:13">
      <c r="A12" s="19"/>
      <c r="B12" s="19"/>
      <c r="C12" s="20"/>
      <c r="D12" s="19"/>
      <c r="E12" s="19"/>
      <c r="F12" s="19"/>
      <c r="G12" s="19"/>
      <c r="H12" s="19"/>
      <c r="I12" s="19"/>
      <c r="J12" s="19"/>
      <c r="K12" s="19"/>
      <c r="L12" s="19"/>
      <c r="M12" s="19"/>
    </row>
    <row r="13" spans="1:13" s="1" customFormat="1" ht="89.25">
      <c r="A13" s="63" t="s">
        <v>0</v>
      </c>
      <c r="B13" s="64"/>
      <c r="C13" s="64"/>
      <c r="D13" s="64"/>
      <c r="E13" s="64"/>
      <c r="F13" s="64"/>
      <c r="G13" s="64"/>
      <c r="H13" s="64"/>
      <c r="I13" s="64"/>
      <c r="J13" s="64"/>
      <c r="K13" s="64"/>
      <c r="L13" s="64"/>
      <c r="M13" s="65"/>
    </row>
    <row r="14" spans="1:13" s="1" customFormat="1" ht="89.45" customHeight="1">
      <c r="A14" s="63" t="s">
        <v>1</v>
      </c>
      <c r="B14" s="64"/>
      <c r="C14" s="64"/>
      <c r="D14" s="64"/>
      <c r="E14" s="64"/>
      <c r="F14" s="64"/>
      <c r="G14" s="64"/>
      <c r="H14" s="64"/>
      <c r="I14" s="64"/>
      <c r="J14" s="64"/>
      <c r="K14" s="64"/>
      <c r="L14" s="64"/>
      <c r="M14" s="65"/>
    </row>
    <row r="15" spans="1:13" s="1" customFormat="1" ht="89.45" customHeight="1">
      <c r="A15" s="63" t="s">
        <v>2</v>
      </c>
      <c r="B15" s="64"/>
      <c r="C15" s="64"/>
      <c r="D15" s="64"/>
      <c r="E15" s="64"/>
      <c r="F15" s="64"/>
      <c r="G15" s="64"/>
      <c r="H15" s="64"/>
      <c r="I15" s="64"/>
      <c r="J15" s="64"/>
      <c r="K15" s="64"/>
      <c r="L15" s="64"/>
      <c r="M15" s="65"/>
    </row>
    <row r="16" spans="1:13" s="2" customFormat="1" ht="89.45" customHeight="1">
      <c r="A16" s="63" t="s">
        <v>3</v>
      </c>
      <c r="B16" s="64"/>
      <c r="C16" s="64"/>
      <c r="D16" s="64"/>
      <c r="E16" s="64"/>
      <c r="F16" s="64"/>
      <c r="G16" s="64"/>
      <c r="H16" s="64"/>
      <c r="I16" s="64"/>
      <c r="J16" s="64"/>
      <c r="K16" s="64"/>
      <c r="L16" s="64"/>
      <c r="M16" s="65"/>
    </row>
    <row r="17" spans="1:24" s="2" customFormat="1" ht="89.45" customHeight="1">
      <c r="A17" s="63" t="s">
        <v>4</v>
      </c>
      <c r="B17" s="64"/>
      <c r="C17" s="64"/>
      <c r="D17" s="64"/>
      <c r="E17" s="64"/>
      <c r="F17" s="64"/>
      <c r="G17" s="64"/>
      <c r="H17" s="64"/>
      <c r="I17" s="64"/>
      <c r="J17" s="64"/>
      <c r="K17" s="64"/>
      <c r="L17" s="64"/>
      <c r="M17" s="65"/>
    </row>
    <row r="18" spans="1:24" s="3" customFormat="1" ht="89.45" customHeight="1">
      <c r="A18" s="21"/>
      <c r="B18" s="22"/>
      <c r="C18" s="23"/>
      <c r="D18" s="22"/>
      <c r="E18" s="22" t="s">
        <v>5</v>
      </c>
      <c r="F18" s="22"/>
      <c r="G18" s="22"/>
      <c r="H18" s="22"/>
      <c r="I18" s="22"/>
      <c r="J18" s="22"/>
      <c r="K18" s="22"/>
      <c r="L18" s="22"/>
      <c r="M18" s="24"/>
    </row>
    <row r="19" spans="1:24" s="4" customFormat="1" ht="89.45" customHeight="1" thickBot="1">
      <c r="A19" s="66"/>
      <c r="B19" s="66"/>
      <c r="C19" s="66"/>
      <c r="D19" s="66"/>
      <c r="E19" s="66"/>
      <c r="F19" s="66"/>
      <c r="G19" s="66"/>
      <c r="H19" s="66"/>
      <c r="I19" s="66"/>
      <c r="J19" s="66"/>
      <c r="K19" s="66"/>
      <c r="L19" s="66"/>
      <c r="M19" s="66"/>
    </row>
    <row r="20" spans="1:24" s="4" customFormat="1" ht="89.25" customHeight="1">
      <c r="A20" s="25" t="s">
        <v>6</v>
      </c>
      <c r="B20" s="26"/>
      <c r="C20" s="27"/>
      <c r="D20" s="26"/>
      <c r="E20" s="26"/>
      <c r="F20" s="26"/>
      <c r="G20" s="26"/>
      <c r="H20" s="26"/>
      <c r="I20" s="26"/>
      <c r="J20" s="67" t="s">
        <v>7</v>
      </c>
      <c r="K20" s="67"/>
      <c r="L20" s="26" t="s">
        <v>45</v>
      </c>
      <c r="M20" s="26"/>
    </row>
    <row r="21" spans="1:24" s="4" customFormat="1" ht="89.25">
      <c r="A21" s="28" t="s">
        <v>8</v>
      </c>
      <c r="B21" s="29"/>
      <c r="C21" s="30"/>
      <c r="D21" s="29"/>
      <c r="E21" s="29"/>
      <c r="F21" s="29"/>
      <c r="G21" s="29"/>
      <c r="H21" s="29"/>
      <c r="I21" s="29"/>
      <c r="J21" s="59" t="s">
        <v>9</v>
      </c>
      <c r="K21" s="59"/>
      <c r="L21" s="59">
        <v>20061801</v>
      </c>
      <c r="M21" s="59"/>
      <c r="N21" s="62"/>
    </row>
    <row r="22" spans="1:24" s="4" customFormat="1" ht="89.25">
      <c r="A22" s="28" t="s">
        <v>10</v>
      </c>
      <c r="B22" s="29"/>
      <c r="C22" s="30"/>
      <c r="D22" s="29"/>
      <c r="E22" s="29"/>
      <c r="F22" s="29"/>
      <c r="G22" s="29"/>
      <c r="H22" s="29"/>
      <c r="I22" s="29"/>
      <c r="J22" s="59" t="s">
        <v>11</v>
      </c>
      <c r="K22" s="59"/>
      <c r="L22" s="59" t="s">
        <v>12</v>
      </c>
      <c r="M22" s="59"/>
      <c r="N22" s="62"/>
    </row>
    <row r="23" spans="1:24" s="4" customFormat="1" ht="89.25">
      <c r="A23" s="28" t="s">
        <v>13</v>
      </c>
      <c r="B23" s="29"/>
      <c r="C23" s="30"/>
      <c r="D23" s="29"/>
      <c r="E23" s="29"/>
      <c r="F23" s="29"/>
      <c r="G23" s="29"/>
      <c r="H23" s="29"/>
      <c r="I23" s="29"/>
      <c r="J23" s="29" t="s">
        <v>14</v>
      </c>
      <c r="K23" s="29"/>
      <c r="L23" s="29" t="s">
        <v>59</v>
      </c>
      <c r="M23" s="31"/>
    </row>
    <row r="24" spans="1:24" s="3" customFormat="1" ht="89.25">
      <c r="A24" s="28" t="s">
        <v>15</v>
      </c>
      <c r="B24" s="29"/>
      <c r="C24" s="30"/>
      <c r="D24" s="29"/>
      <c r="E24" s="29"/>
      <c r="F24" s="29"/>
      <c r="G24" s="29"/>
      <c r="H24" s="29"/>
      <c r="I24" s="29"/>
      <c r="J24" s="59" t="s">
        <v>16</v>
      </c>
      <c r="K24" s="59"/>
      <c r="L24" s="59" t="s">
        <v>40</v>
      </c>
      <c r="M24" s="59"/>
      <c r="N24" s="62"/>
    </row>
    <row r="25" spans="1:24" s="3" customFormat="1" ht="89.25" customHeight="1">
      <c r="A25" s="32"/>
      <c r="B25" s="33"/>
      <c r="C25" s="34"/>
      <c r="D25" s="33"/>
      <c r="E25" s="33"/>
      <c r="F25" s="33"/>
      <c r="G25" s="33"/>
      <c r="H25" s="33"/>
      <c r="I25" s="33"/>
      <c r="J25" s="59" t="s">
        <v>17</v>
      </c>
      <c r="K25" s="59"/>
      <c r="L25" s="60" t="s">
        <v>45</v>
      </c>
      <c r="M25" s="60"/>
      <c r="N25" s="61"/>
    </row>
    <row r="26" spans="1:24" s="3" customFormat="1" ht="88.9" customHeight="1">
      <c r="A26" s="32"/>
      <c r="B26" s="33"/>
      <c r="C26" s="34"/>
      <c r="D26" s="33"/>
      <c r="E26" s="33"/>
      <c r="F26" s="33"/>
      <c r="G26" s="33"/>
      <c r="H26" s="33"/>
      <c r="I26" s="33"/>
      <c r="J26" s="29" t="s">
        <v>18</v>
      </c>
      <c r="K26" s="29"/>
      <c r="L26" s="29">
        <v>996791</v>
      </c>
      <c r="M26" s="35"/>
    </row>
    <row r="27" spans="1:24" s="5" customFormat="1" ht="104.25" customHeight="1">
      <c r="A27" s="32"/>
      <c r="B27" s="33"/>
      <c r="C27" s="34"/>
      <c r="D27" s="33"/>
      <c r="E27" s="33"/>
      <c r="F27" s="33"/>
      <c r="G27" s="33"/>
      <c r="H27" s="33"/>
      <c r="I27" s="33"/>
      <c r="J27" s="33"/>
      <c r="K27" s="36"/>
      <c r="L27" s="36"/>
      <c r="M27" s="37"/>
    </row>
    <row r="28" spans="1:24" s="6" customFormat="1" ht="174" customHeight="1">
      <c r="A28" s="10" t="s">
        <v>19</v>
      </c>
      <c r="B28" s="10" t="s">
        <v>20</v>
      </c>
      <c r="C28" s="10" t="s">
        <v>21</v>
      </c>
      <c r="D28" s="10" t="s">
        <v>22</v>
      </c>
      <c r="E28" s="10" t="s">
        <v>23</v>
      </c>
      <c r="F28" s="10" t="s">
        <v>24</v>
      </c>
      <c r="G28" s="10" t="s">
        <v>25</v>
      </c>
      <c r="H28" s="10" t="s">
        <v>36</v>
      </c>
      <c r="I28" s="10" t="s">
        <v>26</v>
      </c>
      <c r="J28" s="10" t="s">
        <v>27</v>
      </c>
      <c r="K28" s="10" t="s">
        <v>28</v>
      </c>
      <c r="L28" s="10" t="s">
        <v>29</v>
      </c>
      <c r="M28" s="10" t="s">
        <v>30</v>
      </c>
    </row>
    <row r="29" spans="1:24" s="2" customFormat="1" ht="92.25">
      <c r="A29" s="40">
        <v>1</v>
      </c>
      <c r="B29" s="41">
        <v>45597</v>
      </c>
      <c r="C29" s="41" t="s">
        <v>46</v>
      </c>
      <c r="D29" s="41" t="s">
        <v>39</v>
      </c>
      <c r="E29" s="41" t="s">
        <v>47</v>
      </c>
      <c r="F29" s="41" t="s">
        <v>42</v>
      </c>
      <c r="G29" s="40" t="s">
        <v>37</v>
      </c>
      <c r="H29" s="40">
        <v>1000</v>
      </c>
      <c r="I29" s="41" t="s">
        <v>48</v>
      </c>
      <c r="J29" s="18" t="s">
        <v>38</v>
      </c>
      <c r="K29" s="40">
        <v>36.270000000000003</v>
      </c>
      <c r="L29" s="40">
        <v>1000</v>
      </c>
      <c r="M29" s="18">
        <v>49436.01</v>
      </c>
      <c r="N29" s="15"/>
      <c r="O29" s="1"/>
      <c r="P29" s="1"/>
      <c r="Q29" s="1"/>
      <c r="R29" s="1"/>
      <c r="S29" s="1"/>
      <c r="T29" s="1"/>
      <c r="U29" s="1"/>
      <c r="V29" s="1"/>
      <c r="W29" s="1"/>
      <c r="X29" s="1"/>
    </row>
    <row r="30" spans="1:24" s="2" customFormat="1" ht="92.25">
      <c r="A30" s="40">
        <v>2</v>
      </c>
      <c r="B30" s="41">
        <v>45602</v>
      </c>
      <c r="C30" s="41" t="s">
        <v>43</v>
      </c>
      <c r="D30" s="41" t="s">
        <v>44</v>
      </c>
      <c r="E30" s="41" t="s">
        <v>49</v>
      </c>
      <c r="F30" s="41" t="s">
        <v>50</v>
      </c>
      <c r="G30" s="40" t="s">
        <v>37</v>
      </c>
      <c r="H30" s="40">
        <v>3936</v>
      </c>
      <c r="I30" s="41" t="s">
        <v>51</v>
      </c>
      <c r="J30" s="18" t="s">
        <v>38</v>
      </c>
      <c r="K30" s="40">
        <v>36.840000000000003</v>
      </c>
      <c r="L30" s="40">
        <v>3936</v>
      </c>
      <c r="M30" s="18">
        <v>49991.88</v>
      </c>
      <c r="N30" s="15"/>
      <c r="O30" s="1"/>
      <c r="P30" s="1"/>
      <c r="Q30" s="1"/>
      <c r="R30" s="1"/>
      <c r="S30" s="1"/>
      <c r="T30" s="1"/>
      <c r="U30" s="1"/>
      <c r="V30" s="1"/>
      <c r="W30" s="1"/>
      <c r="X30" s="1"/>
    </row>
    <row r="31" spans="1:24" s="2" customFormat="1" ht="92.25">
      <c r="A31" s="40">
        <v>3</v>
      </c>
      <c r="B31" s="41">
        <v>45602</v>
      </c>
      <c r="C31" s="41" t="s">
        <v>43</v>
      </c>
      <c r="D31" s="41" t="s">
        <v>44</v>
      </c>
      <c r="E31" s="41" t="s">
        <v>52</v>
      </c>
      <c r="F31" s="41" t="s">
        <v>41</v>
      </c>
      <c r="G31" s="40" t="s">
        <v>37</v>
      </c>
      <c r="H31" s="40">
        <v>3942</v>
      </c>
      <c r="I31" s="41" t="s">
        <v>53</v>
      </c>
      <c r="J31" s="18" t="s">
        <v>38</v>
      </c>
      <c r="K31" s="40">
        <v>36.71</v>
      </c>
      <c r="L31" s="40">
        <v>3942</v>
      </c>
      <c r="M31" s="18">
        <v>49815.47</v>
      </c>
      <c r="N31" s="15"/>
      <c r="O31" s="1"/>
      <c r="P31" s="1"/>
      <c r="Q31" s="1"/>
      <c r="R31" s="1"/>
      <c r="S31" s="1"/>
      <c r="T31" s="1"/>
      <c r="U31" s="1"/>
      <c r="V31" s="1"/>
      <c r="W31" s="1"/>
      <c r="X31" s="1"/>
    </row>
    <row r="32" spans="1:24" s="2" customFormat="1" ht="92.25">
      <c r="A32" s="40">
        <v>4</v>
      </c>
      <c r="B32" s="41">
        <v>45603</v>
      </c>
      <c r="C32" s="41" t="s">
        <v>43</v>
      </c>
      <c r="D32" s="41" t="s">
        <v>44</v>
      </c>
      <c r="E32" s="41" t="s">
        <v>54</v>
      </c>
      <c r="F32" s="41" t="s">
        <v>55</v>
      </c>
      <c r="G32" s="40" t="s">
        <v>37</v>
      </c>
      <c r="H32" s="40">
        <v>981</v>
      </c>
      <c r="I32" s="41" t="s">
        <v>56</v>
      </c>
      <c r="J32" s="18" t="s">
        <v>38</v>
      </c>
      <c r="K32" s="40">
        <v>36.39</v>
      </c>
      <c r="L32" s="40">
        <v>981</v>
      </c>
      <c r="M32" s="18">
        <v>49381.23</v>
      </c>
      <c r="N32" s="15"/>
      <c r="O32" s="1"/>
      <c r="P32" s="1"/>
      <c r="Q32" s="1"/>
      <c r="R32" s="1"/>
      <c r="S32" s="1"/>
      <c r="T32" s="1"/>
      <c r="U32" s="1"/>
      <c r="V32" s="1"/>
      <c r="W32" s="1"/>
      <c r="X32" s="1"/>
    </row>
    <row r="33" spans="1:24" s="2" customFormat="1" ht="92.25">
      <c r="A33" s="40"/>
      <c r="B33" s="41"/>
      <c r="C33" s="41"/>
      <c r="D33" s="41"/>
      <c r="E33" s="41"/>
      <c r="F33" s="41"/>
      <c r="G33" s="40"/>
      <c r="H33" s="40"/>
      <c r="I33" s="41"/>
      <c r="J33" s="18"/>
      <c r="K33" s="40"/>
      <c r="L33" s="40"/>
      <c r="M33" s="18"/>
      <c r="N33" s="15"/>
      <c r="O33" s="1"/>
      <c r="P33" s="1"/>
      <c r="Q33" s="1"/>
      <c r="R33" s="1"/>
      <c r="S33" s="1"/>
      <c r="T33" s="1"/>
      <c r="U33" s="1"/>
      <c r="V33" s="1"/>
      <c r="W33" s="1"/>
      <c r="X33" s="1"/>
    </row>
    <row r="34" spans="1:24" s="2" customFormat="1" ht="92.25">
      <c r="A34" s="40"/>
      <c r="B34" s="41"/>
      <c r="C34" s="41"/>
      <c r="D34" s="41"/>
      <c r="E34" s="41"/>
      <c r="F34" s="41"/>
      <c r="G34" s="40"/>
      <c r="H34" s="40"/>
      <c r="I34" s="41"/>
      <c r="J34" s="18"/>
      <c r="K34" s="40"/>
      <c r="L34" s="40"/>
      <c r="M34" s="18"/>
      <c r="N34" s="15"/>
      <c r="O34" s="1"/>
      <c r="P34" s="1"/>
      <c r="Q34" s="1"/>
      <c r="R34" s="1"/>
      <c r="S34" s="1"/>
      <c r="T34" s="1"/>
      <c r="U34" s="1"/>
      <c r="V34" s="1"/>
      <c r="W34" s="1"/>
      <c r="X34" s="1"/>
    </row>
    <row r="35" spans="1:24" s="2" customFormat="1" ht="92.25">
      <c r="A35" s="40"/>
      <c r="B35" s="41"/>
      <c r="C35" s="41"/>
      <c r="D35" s="41"/>
      <c r="E35" s="41"/>
      <c r="F35" s="41"/>
      <c r="G35" s="40"/>
      <c r="H35" s="40"/>
      <c r="I35" s="41"/>
      <c r="J35" s="18"/>
      <c r="K35" s="40"/>
      <c r="L35" s="40"/>
      <c r="M35" s="18"/>
      <c r="N35" s="15"/>
      <c r="O35" s="1"/>
      <c r="P35" s="1"/>
      <c r="Q35" s="1"/>
      <c r="R35" s="1"/>
      <c r="S35" s="1"/>
      <c r="T35" s="1"/>
      <c r="U35" s="1"/>
      <c r="V35" s="1"/>
      <c r="W35" s="1"/>
      <c r="X35" s="1"/>
    </row>
    <row r="36" spans="1:24" s="2" customFormat="1" ht="92.25">
      <c r="A36" s="40"/>
      <c r="B36" s="41"/>
      <c r="C36" s="41"/>
      <c r="D36" s="41"/>
      <c r="E36" s="41"/>
      <c r="F36" s="41"/>
      <c r="G36" s="40"/>
      <c r="H36" s="40"/>
      <c r="I36" s="41"/>
      <c r="J36" s="18"/>
      <c r="K36" s="40"/>
      <c r="L36" s="40"/>
      <c r="M36" s="18"/>
      <c r="N36" s="15"/>
      <c r="O36" s="1"/>
      <c r="P36" s="1"/>
      <c r="Q36" s="1"/>
      <c r="R36" s="1"/>
      <c r="S36" s="1"/>
      <c r="T36" s="1"/>
      <c r="U36" s="1"/>
      <c r="V36" s="1"/>
      <c r="W36" s="1"/>
      <c r="X36" s="1"/>
    </row>
    <row r="37" spans="1:24" s="2" customFormat="1" ht="92.25">
      <c r="A37" s="40"/>
      <c r="B37" s="41"/>
      <c r="C37" s="41"/>
      <c r="D37" s="41"/>
      <c r="E37" s="41"/>
      <c r="F37" s="41"/>
      <c r="G37" s="40"/>
      <c r="H37" s="40"/>
      <c r="I37" s="41"/>
      <c r="J37" s="18"/>
      <c r="K37" s="40"/>
      <c r="L37" s="40"/>
      <c r="M37" s="18"/>
      <c r="N37" s="15"/>
      <c r="O37" s="1"/>
      <c r="P37" s="1"/>
      <c r="Q37" s="1"/>
      <c r="R37" s="1"/>
      <c r="S37" s="1"/>
      <c r="T37" s="1"/>
      <c r="U37" s="1"/>
      <c r="V37" s="1"/>
      <c r="W37" s="1"/>
      <c r="X37" s="1"/>
    </row>
    <row r="38" spans="1:24" s="2" customFormat="1" ht="92.25">
      <c r="A38" s="40"/>
      <c r="B38" s="41"/>
      <c r="C38" s="41"/>
      <c r="D38" s="41"/>
      <c r="E38" s="41"/>
      <c r="F38" s="41"/>
      <c r="G38" s="40"/>
      <c r="H38" s="40"/>
      <c r="I38" s="41"/>
      <c r="J38" s="18"/>
      <c r="K38" s="40"/>
      <c r="L38" s="40"/>
      <c r="M38" s="18"/>
      <c r="N38" s="15"/>
      <c r="O38" s="1"/>
      <c r="P38" s="1"/>
      <c r="Q38" s="1"/>
      <c r="R38" s="1"/>
      <c r="S38" s="1"/>
      <c r="T38" s="1"/>
      <c r="U38" s="1"/>
      <c r="V38" s="1"/>
      <c r="W38" s="1"/>
      <c r="X38" s="1"/>
    </row>
    <row r="39" spans="1:24" s="2" customFormat="1" ht="92.25">
      <c r="A39" s="40"/>
      <c r="B39" s="41"/>
      <c r="C39" s="41"/>
      <c r="D39" s="41"/>
      <c r="E39" s="41"/>
      <c r="F39" s="41"/>
      <c r="G39" s="40"/>
      <c r="H39" s="40"/>
      <c r="I39" s="41"/>
      <c r="J39" s="18"/>
      <c r="K39" s="40"/>
      <c r="L39" s="40"/>
      <c r="M39" s="18"/>
      <c r="N39" s="15"/>
      <c r="O39" s="1"/>
      <c r="P39" s="1"/>
      <c r="Q39" s="1"/>
      <c r="R39" s="1"/>
      <c r="S39" s="1"/>
      <c r="T39" s="1"/>
      <c r="U39" s="1"/>
      <c r="V39" s="1"/>
      <c r="W39" s="1"/>
      <c r="X39" s="1"/>
    </row>
    <row r="40" spans="1:24" s="2" customFormat="1" ht="92.25">
      <c r="A40" s="40"/>
      <c r="B40" s="41"/>
      <c r="C40" s="41"/>
      <c r="D40" s="41"/>
      <c r="E40" s="41"/>
      <c r="F40" s="41"/>
      <c r="G40" s="40"/>
      <c r="H40" s="40"/>
      <c r="I40" s="41"/>
      <c r="J40" s="18"/>
      <c r="K40" s="40"/>
      <c r="L40" s="40"/>
      <c r="M40" s="18"/>
      <c r="N40" s="15"/>
      <c r="O40" s="1"/>
      <c r="P40" s="1"/>
      <c r="Q40" s="1"/>
      <c r="R40" s="1"/>
      <c r="S40" s="1"/>
      <c r="T40" s="1"/>
      <c r="U40" s="1"/>
      <c r="V40" s="1"/>
      <c r="W40" s="1"/>
      <c r="X40" s="1"/>
    </row>
    <row r="41" spans="1:24" s="2" customFormat="1" ht="92.25">
      <c r="A41" s="40"/>
      <c r="B41" s="41"/>
      <c r="C41" s="41"/>
      <c r="D41" s="41"/>
      <c r="E41" s="41"/>
      <c r="F41" s="41"/>
      <c r="G41" s="40"/>
      <c r="H41" s="40"/>
      <c r="I41" s="41"/>
      <c r="J41" s="18"/>
      <c r="K41" s="40"/>
      <c r="L41" s="40"/>
      <c r="M41" s="18"/>
      <c r="N41" s="15"/>
      <c r="O41" s="1"/>
      <c r="P41" s="1"/>
      <c r="Q41" s="1"/>
      <c r="R41" s="1"/>
      <c r="S41" s="1"/>
      <c r="T41" s="1"/>
      <c r="U41" s="1"/>
      <c r="V41" s="1"/>
      <c r="W41" s="1"/>
      <c r="X41" s="1"/>
    </row>
    <row r="42" spans="1:24" s="2" customFormat="1" ht="92.25">
      <c r="A42" s="40"/>
      <c r="B42" s="41"/>
      <c r="C42" s="41"/>
      <c r="D42" s="41"/>
      <c r="E42" s="41"/>
      <c r="F42" s="41"/>
      <c r="G42" s="40"/>
      <c r="H42" s="40"/>
      <c r="I42" s="41"/>
      <c r="J42" s="18"/>
      <c r="K42" s="40"/>
      <c r="L42" s="40"/>
      <c r="M42" s="18"/>
      <c r="N42" s="15"/>
      <c r="O42" s="1"/>
      <c r="P42" s="1"/>
      <c r="Q42" s="1"/>
      <c r="R42" s="1"/>
      <c r="S42" s="1"/>
      <c r="T42" s="1"/>
      <c r="U42" s="1"/>
      <c r="V42" s="1"/>
      <c r="W42" s="1"/>
      <c r="X42" s="1"/>
    </row>
    <row r="43" spans="1:24" s="2" customFormat="1" ht="92.25">
      <c r="A43" s="40"/>
      <c r="B43" s="41"/>
      <c r="C43" s="41"/>
      <c r="D43" s="41"/>
      <c r="E43" s="41"/>
      <c r="F43" s="41"/>
      <c r="G43" s="40"/>
      <c r="H43" s="40"/>
      <c r="I43" s="41"/>
      <c r="J43" s="18"/>
      <c r="K43" s="40"/>
      <c r="L43" s="40"/>
      <c r="M43" s="18"/>
      <c r="N43" s="15"/>
      <c r="O43" s="1"/>
      <c r="P43" s="1"/>
      <c r="Q43" s="1"/>
      <c r="R43" s="1"/>
      <c r="S43" s="1"/>
      <c r="T43" s="1"/>
      <c r="U43" s="1"/>
      <c r="V43" s="1"/>
      <c r="W43" s="1"/>
      <c r="X43" s="1"/>
    </row>
    <row r="44" spans="1:24" s="2" customFormat="1" ht="92.25">
      <c r="A44" s="40"/>
      <c r="B44" s="41"/>
      <c r="C44" s="41"/>
      <c r="D44" s="41"/>
      <c r="E44" s="41"/>
      <c r="F44" s="41"/>
      <c r="G44" s="40"/>
      <c r="H44" s="40"/>
      <c r="I44" s="41"/>
      <c r="J44" s="18"/>
      <c r="K44" s="40"/>
      <c r="L44" s="40"/>
      <c r="M44" s="18"/>
      <c r="N44" s="15"/>
      <c r="O44" s="1"/>
      <c r="P44" s="1"/>
      <c r="Q44" s="1"/>
      <c r="R44" s="1"/>
      <c r="S44" s="1"/>
      <c r="T44" s="1"/>
      <c r="U44" s="1"/>
      <c r="V44" s="1"/>
      <c r="W44" s="1"/>
      <c r="X44" s="1"/>
    </row>
    <row r="45" spans="1:24" s="2" customFormat="1" ht="92.25">
      <c r="A45" s="40"/>
      <c r="B45" s="41"/>
      <c r="C45" s="40"/>
      <c r="D45" s="40"/>
      <c r="E45" s="40"/>
      <c r="F45" s="40"/>
      <c r="G45" s="40"/>
      <c r="H45" s="40"/>
      <c r="I45" s="40"/>
      <c r="J45" s="18"/>
      <c r="K45" s="40"/>
      <c r="L45" s="40"/>
      <c r="M45" s="40"/>
      <c r="N45" s="15"/>
      <c r="O45" s="1"/>
      <c r="P45" s="1"/>
      <c r="Q45" s="1"/>
      <c r="R45" s="1"/>
      <c r="S45" s="1"/>
      <c r="T45" s="1"/>
      <c r="U45" s="1"/>
      <c r="V45" s="1"/>
      <c r="W45" s="1"/>
      <c r="X45" s="1"/>
    </row>
    <row r="46" spans="1:24" s="7" customFormat="1" ht="321.75" customHeight="1">
      <c r="A46" s="44" t="s">
        <v>31</v>
      </c>
      <c r="B46" s="45"/>
      <c r="C46" s="38"/>
      <c r="D46" s="17"/>
      <c r="E46" s="17"/>
      <c r="F46" s="38"/>
      <c r="G46" s="17"/>
      <c r="H46" s="40"/>
      <c r="I46" s="39"/>
      <c r="J46" s="13"/>
      <c r="K46" s="14">
        <f>SUM(K29:K45)</f>
        <v>146.21000000000004</v>
      </c>
      <c r="L46" s="38"/>
      <c r="M46" s="14">
        <f>SUM(M29:M45)</f>
        <v>198624.59</v>
      </c>
    </row>
    <row r="47" spans="1:24" s="7" customFormat="1" ht="321.75" customHeight="1">
      <c r="A47" s="44"/>
      <c r="B47" s="44"/>
      <c r="C47" s="44"/>
      <c r="D47" s="44"/>
      <c r="E47" s="44"/>
      <c r="F47" s="44"/>
      <c r="G47" s="44"/>
      <c r="H47" s="44"/>
      <c r="I47" s="44"/>
      <c r="J47" s="44"/>
      <c r="K47" s="44"/>
      <c r="L47" s="16" t="s">
        <v>32</v>
      </c>
      <c r="M47" s="11">
        <f>+M46*12%</f>
        <v>23834.950799999999</v>
      </c>
    </row>
    <row r="48" spans="1:24" s="7" customFormat="1" ht="216.75" customHeight="1">
      <c r="A48" s="44" t="s">
        <v>57</v>
      </c>
      <c r="B48" s="46"/>
      <c r="C48" s="46"/>
      <c r="D48" s="46"/>
      <c r="E48" s="46"/>
      <c r="F48" s="46"/>
      <c r="G48" s="46"/>
      <c r="H48" s="46"/>
      <c r="I48" s="46"/>
      <c r="J48" s="46"/>
      <c r="K48" s="46"/>
      <c r="L48" s="16"/>
      <c r="M48" s="43"/>
    </row>
    <row r="49" spans="1:14" s="7" customFormat="1" ht="216.75" customHeight="1" thickBot="1">
      <c r="A49" s="47" t="s">
        <v>58</v>
      </c>
      <c r="B49" s="48"/>
      <c r="C49" s="48"/>
      <c r="D49" s="48"/>
      <c r="E49" s="48"/>
      <c r="F49" s="48"/>
      <c r="G49" s="48"/>
      <c r="H49" s="48"/>
      <c r="I49" s="48"/>
      <c r="J49" s="48"/>
      <c r="K49" s="48"/>
      <c r="L49" s="16" t="s">
        <v>33</v>
      </c>
      <c r="M49" s="11">
        <f>+M46+M47</f>
        <v>222459.54079999999</v>
      </c>
    </row>
    <row r="50" spans="1:14" s="7" customFormat="1" ht="89.25" customHeight="1">
      <c r="A50" s="50" t="s">
        <v>35</v>
      </c>
      <c r="B50" s="51"/>
      <c r="C50" s="51"/>
      <c r="D50" s="51"/>
      <c r="E50" s="51"/>
      <c r="F50" s="51"/>
      <c r="G50" s="51"/>
      <c r="H50" s="51"/>
      <c r="I50" s="51"/>
      <c r="J50" s="51"/>
      <c r="K50" s="51"/>
      <c r="L50" s="51"/>
      <c r="M50" s="51"/>
      <c r="N50" s="52"/>
    </row>
    <row r="51" spans="1:14" s="7" customFormat="1" ht="89.25" customHeight="1">
      <c r="A51" s="53"/>
      <c r="B51" s="54"/>
      <c r="C51" s="54"/>
      <c r="D51" s="54"/>
      <c r="E51" s="54"/>
      <c r="F51" s="54"/>
      <c r="G51" s="54"/>
      <c r="H51" s="54"/>
      <c r="I51" s="54"/>
      <c r="J51" s="54"/>
      <c r="K51" s="54"/>
      <c r="L51" s="54"/>
      <c r="M51" s="54"/>
      <c r="N51" s="55"/>
    </row>
    <row r="52" spans="1:14" s="7" customFormat="1" ht="89.25" customHeight="1">
      <c r="A52" s="53"/>
      <c r="B52" s="54"/>
      <c r="C52" s="54"/>
      <c r="D52" s="54"/>
      <c r="E52" s="54"/>
      <c r="F52" s="54"/>
      <c r="G52" s="54"/>
      <c r="H52" s="54"/>
      <c r="I52" s="54"/>
      <c r="J52" s="54"/>
      <c r="K52" s="54"/>
      <c r="L52" s="54"/>
      <c r="M52" s="54"/>
      <c r="N52" s="55"/>
    </row>
    <row r="53" spans="1:14" ht="89.25" customHeight="1" thickBot="1">
      <c r="A53" s="56"/>
      <c r="B53" s="57"/>
      <c r="C53" s="57"/>
      <c r="D53" s="57"/>
      <c r="E53" s="57"/>
      <c r="F53" s="57"/>
      <c r="G53" s="57"/>
      <c r="H53" s="57"/>
      <c r="I53" s="57"/>
      <c r="J53" s="57"/>
      <c r="K53" s="57"/>
      <c r="L53" s="57"/>
      <c r="M53" s="57"/>
      <c r="N53" s="58"/>
    </row>
    <row r="54" spans="1:14" ht="89.25" customHeight="1"/>
    <row r="55" spans="1:14" ht="89.25" customHeight="1">
      <c r="J55" t="s">
        <v>34</v>
      </c>
      <c r="K55" s="7"/>
    </row>
    <row r="56" spans="1:14" ht="89.25" customHeight="1">
      <c r="K56" s="7"/>
    </row>
    <row r="57" spans="1:14" ht="89.25" customHeight="1">
      <c r="L57" s="12" t="s">
        <v>12</v>
      </c>
    </row>
    <row r="58" spans="1:14" ht="89.25" customHeight="1">
      <c r="C58" s="49"/>
      <c r="D58" s="49"/>
      <c r="E58" s="49"/>
      <c r="F58" s="49"/>
      <c r="G58" s="49"/>
      <c r="H58" s="49"/>
      <c r="I58" s="49"/>
      <c r="J58" s="49"/>
      <c r="K58" s="49"/>
      <c r="L58" s="49"/>
    </row>
  </sheetData>
  <mergeCells count="25">
    <mergeCell ref="J6:M6"/>
    <mergeCell ref="A13:M13"/>
    <mergeCell ref="A14:M14"/>
    <mergeCell ref="A15:M15"/>
    <mergeCell ref="A16:M16"/>
    <mergeCell ref="D9:F9"/>
    <mergeCell ref="D3:F7"/>
    <mergeCell ref="J8:M9"/>
    <mergeCell ref="A17:M17"/>
    <mergeCell ref="A19:M19"/>
    <mergeCell ref="J20:K20"/>
    <mergeCell ref="J21:K21"/>
    <mergeCell ref="L21:N21"/>
    <mergeCell ref="J22:K22"/>
    <mergeCell ref="J24:K24"/>
    <mergeCell ref="J25:K25"/>
    <mergeCell ref="L25:N25"/>
    <mergeCell ref="L22:N22"/>
    <mergeCell ref="L24:N24"/>
    <mergeCell ref="A46:B46"/>
    <mergeCell ref="A47:K47"/>
    <mergeCell ref="A48:K48"/>
    <mergeCell ref="A49:K49"/>
    <mergeCell ref="C58:L58"/>
    <mergeCell ref="A50:N53"/>
  </mergeCells>
  <pageMargins left="0.23" right="0.23622047244094499" top="1.4173228346456701" bottom="0.74803149606299202" header="0.31496062992126" footer="0.31496062992126"/>
  <pageSetup scale="10" fitToHeight="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Sheet2</vt:lpstr>
      <vt:lpstr>bill5</vt:lpstr>
      <vt:lpstr>bill5!Print_Area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dc:creator>
  <cp:lastModifiedBy>FIS Arcom</cp:lastModifiedBy>
  <cp:lastPrinted>2024-11-14T06:39:37Z</cp:lastPrinted>
  <dcterms:created xsi:type="dcterms:W3CDTF">2006-09-16T00:00:00Z</dcterms:created>
  <dcterms:modified xsi:type="dcterms:W3CDTF">2024-11-25T06:07:02Z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8411DFEC47034A2696280A82B0C25286</vt:lpwstr>
  </property>
  <property fmtid="{D5CDD505-2E9C-101B-9397-08002B2CF9AE}" pid="3" name="KSOProductBuildVer">
    <vt:lpwstr>1033-11.2.0.11537</vt:lpwstr>
  </property>
</Properties>
</file>
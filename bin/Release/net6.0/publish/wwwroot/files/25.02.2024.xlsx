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E4D76975-2142-4F88-B2E6-44E2ACD6D6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  <sheet name="Sheet1 (2)" sheetId="2" r:id="rId2"/>
  </sheets>
  <calcPr calcId="181029"/>
</workbook>
</file>

<file path=xl/calcChain.xml><?xml version="1.0" encoding="utf-8"?>
<calcChain xmlns="http://schemas.openxmlformats.org/spreadsheetml/2006/main">
  <c r="G65" i="2" l="1"/>
  <c r="G52" i="2"/>
  <c r="G51" i="2"/>
  <c r="G53" i="2" s="1"/>
  <c r="I47" i="2"/>
  <c r="I49" i="2" s="1"/>
  <c r="I45" i="2"/>
  <c r="O43" i="2"/>
  <c r="H43" i="2"/>
  <c r="G43" i="2"/>
  <c r="F43" i="2"/>
  <c r="I23" i="2"/>
  <c r="I43" i="2" s="1"/>
</calcChain>
</file>

<file path=xl/sharedStrings.xml><?xml version="1.0" encoding="utf-8"?>
<sst xmlns="http://schemas.openxmlformats.org/spreadsheetml/2006/main" count="329" uniqueCount="183">
  <si>
    <t>Transporter Portal</t>
  </si>
  <si>
    <t>DI No</t>
  </si>
  <si>
    <t>LR No</t>
  </si>
  <si>
    <t>Plant</t>
  </si>
  <si>
    <t>PGI Date</t>
  </si>
  <si>
    <t>Sold To Party</t>
  </si>
  <si>
    <t>Destination</t>
  </si>
  <si>
    <t>Truck No</t>
  </si>
  <si>
    <t>Special Process Indicator</t>
  </si>
  <si>
    <t>Contact No</t>
  </si>
  <si>
    <t>Grade-Pack</t>
  </si>
  <si>
    <t>Quantity</t>
  </si>
  <si>
    <t>EPOD Status</t>
  </si>
  <si>
    <t>EPOD Date</t>
  </si>
  <si>
    <t>6335-3501</t>
  </si>
  <si>
    <t>2024-02-25 18:02:35</t>
  </si>
  <si>
    <t>JIRWANKAR TRADERS</t>
  </si>
  <si>
    <t>LONI (WASHIM)</t>
  </si>
  <si>
    <t>MH34BZ1029</t>
  </si>
  <si>
    <t>PPC-HP</t>
  </si>
  <si>
    <t>N</t>
  </si>
  <si>
    <t>2024-02-25 16:02:31</t>
  </si>
  <si>
    <t>ALI TRADERS</t>
  </si>
  <si>
    <t>CHATARI</t>
  </si>
  <si>
    <t>AP24TB1277</t>
  </si>
  <si>
    <t>2024-02-25 16:02:19</t>
  </si>
  <si>
    <t>SAI TRADERS</t>
  </si>
  <si>
    <t>SHEMBALPIMPRI (T)</t>
  </si>
  <si>
    <t>AP31TD3688</t>
  </si>
  <si>
    <t>2024-02-25 16:02:43</t>
  </si>
  <si>
    <t>TIRUPATI STEEL AND CEMENT DEPO</t>
  </si>
  <si>
    <t>DHANKI (T)</t>
  </si>
  <si>
    <t>AP05TC7369</t>
  </si>
  <si>
    <t>2024-02-25 18:02:04</t>
  </si>
  <si>
    <t>ANIL TRADERS</t>
  </si>
  <si>
    <t>PUSAD (T)</t>
  </si>
  <si>
    <t>AP01X7109</t>
  </si>
  <si>
    <t>01648</t>
  </si>
  <si>
    <t>2024-02-25 00:02:10</t>
  </si>
  <si>
    <t>MANISH HARDWARE</t>
  </si>
  <si>
    <t>UKALIPEN</t>
  </si>
  <si>
    <t>MH34BZ1031</t>
  </si>
  <si>
    <t>PPC-LH</t>
  </si>
  <si>
    <t>001648</t>
  </si>
  <si>
    <t>2024-02-25 00:02:29</t>
  </si>
  <si>
    <t>2024-02-25 00:02:13</t>
  </si>
  <si>
    <t>Latur - R K Godown</t>
  </si>
  <si>
    <t>Latur-R-K-Godown_6326-26T2</t>
  </si>
  <si>
    <t>TS01UC5771</t>
  </si>
  <si>
    <t>2024-02-25 01:02:07</t>
  </si>
  <si>
    <t>ASMA TRADING CORPORATION</t>
  </si>
  <si>
    <t>SADOBA SAWLI</t>
  </si>
  <si>
    <t>AP20TC1368</t>
  </si>
  <si>
    <t>0942004055</t>
  </si>
  <si>
    <t>2024-02-25 00:02:02</t>
  </si>
  <si>
    <t>SHRIRAM TRDERS</t>
  </si>
  <si>
    <t>SHENGAON-HINGOLI</t>
  </si>
  <si>
    <t>MH34BZ1009</t>
  </si>
  <si>
    <t>2024-02-25 00:02:37</t>
  </si>
  <si>
    <t>NARSI NAMDEO</t>
  </si>
  <si>
    <t>MH34BZ0895</t>
  </si>
  <si>
    <t>0744731207</t>
  </si>
  <si>
    <t>2024-02-25 03:02:51</t>
  </si>
  <si>
    <t>TS01UC5567</t>
  </si>
  <si>
    <t>2024-02-25 03:02:47</t>
  </si>
  <si>
    <t>TS01UC5766</t>
  </si>
  <si>
    <t>2024-02-25 00:02:38</t>
  </si>
  <si>
    <t>MAHAGAON (T)</t>
  </si>
  <si>
    <t>AP27TT9099</t>
  </si>
  <si>
    <t>0901174047</t>
  </si>
  <si>
    <t>2024-02-25 02:02:32</t>
  </si>
  <si>
    <t>SAKHARA-HINGOLI</t>
  </si>
  <si>
    <t>MH34BZ1238</t>
  </si>
  <si>
    <t>2024-02-25 04:02:07</t>
  </si>
  <si>
    <t>SHILONA</t>
  </si>
  <si>
    <t>TS01UC2501</t>
  </si>
  <si>
    <t>2024-02-25 02:02:11</t>
  </si>
  <si>
    <t>JIRWANKAR TRADERS UBS</t>
  </si>
  <si>
    <t>MH34BZ0937</t>
  </si>
  <si>
    <t>001506</t>
  </si>
  <si>
    <t>2024-02-25 02:02:21</t>
  </si>
  <si>
    <t>VENKATESHWARA HARDWARE</t>
  </si>
  <si>
    <t>TS01UC0225</t>
  </si>
  <si>
    <t>01506</t>
  </si>
  <si>
    <t>2024-02-25 02:02:41</t>
  </si>
  <si>
    <t>2024-02-25 03:02:33</t>
  </si>
  <si>
    <t>PANDURANG TRADERS (OC)</t>
  </si>
  <si>
    <t>KALAMANURI</t>
  </si>
  <si>
    <t>MH34BZ1070</t>
  </si>
  <si>
    <t>01508</t>
  </si>
  <si>
    <t>2024-02-25 04:02:30</t>
  </si>
  <si>
    <t>RAMPRASAD BAGMAL MODI.</t>
  </si>
  <si>
    <t>BARHALI</t>
  </si>
  <si>
    <t>TS01UC5740</t>
  </si>
  <si>
    <t>0976617754</t>
  </si>
  <si>
    <t>001508</t>
  </si>
  <si>
    <t>2024-02-25 04:02:50</t>
  </si>
  <si>
    <t>2024-02-25 03:02:09</t>
  </si>
  <si>
    <t>S.M.CHADAVAR</t>
  </si>
  <si>
    <t>NANDED</t>
  </si>
  <si>
    <t>TS01UC1150</t>
  </si>
  <si>
    <t>Y</t>
  </si>
  <si>
    <t>2024-02-25 13:02:32</t>
  </si>
  <si>
    <t>2024-02-25 03:02:29</t>
  </si>
  <si>
    <t>SHRI NARAYAN TRADING COMPANY</t>
  </si>
  <si>
    <t>JAWALA BAZAR</t>
  </si>
  <si>
    <t>MH34BZ0931</t>
  </si>
  <si>
    <t>2024-02-25 04:02:29</t>
  </si>
  <si>
    <t>UTCL LATUR</t>
  </si>
  <si>
    <t>LATUR_6326-2601</t>
  </si>
  <si>
    <t>MH34BZ0936</t>
  </si>
  <si>
    <t>2024-02-25 13:02:30</t>
  </si>
  <si>
    <t>COURAGE INFRA PVT LTD</t>
  </si>
  <si>
    <t>BHOKARDAN (JLN)</t>
  </si>
  <si>
    <t>TS26T1934</t>
  </si>
  <si>
    <t>O43-LC</t>
  </si>
  <si>
    <t>2024-02-25 15:02:07</t>
  </si>
  <si>
    <t>MH34BG1970</t>
  </si>
  <si>
    <t>2024-02-25 14:02:45</t>
  </si>
  <si>
    <t>MH34BZ1496</t>
  </si>
  <si>
    <t>2024-02-25 23:02:09</t>
  </si>
  <si>
    <t>MH34BZ0932</t>
  </si>
  <si>
    <t>2024-02-25 23:02:14</t>
  </si>
  <si>
    <t>TS01UC0952</t>
  </si>
  <si>
    <t>2024-02-25 21:02:21</t>
  </si>
  <si>
    <t>MH34BG4171</t>
  </si>
  <si>
    <t>2024-02-25 17:02:32</t>
  </si>
  <si>
    <t>SUPER AGENCIES BC</t>
  </si>
  <si>
    <t>BHOKER</t>
  </si>
  <si>
    <t>MH26CH0761</t>
  </si>
  <si>
    <t>2024-02-25 17:02:39</t>
  </si>
  <si>
    <t>JOLLY BOARD LTD</t>
  </si>
  <si>
    <t>AURANGABAD [AR]</t>
  </si>
  <si>
    <t>MH34BG3819</t>
  </si>
  <si>
    <t>O53-LC</t>
  </si>
  <si>
    <t>2024-02-25 17:02:06</t>
  </si>
  <si>
    <t>TS01UA7711</t>
  </si>
  <si>
    <t>01545</t>
  </si>
  <si>
    <t>2024-02-25 23:02:42</t>
  </si>
  <si>
    <t>MALEGAON -LOHA</t>
  </si>
  <si>
    <t>MH34BZ0890</t>
  </si>
  <si>
    <t>001545</t>
  </si>
  <si>
    <t>2024-02-25 23:02:01</t>
  </si>
  <si>
    <t>01546</t>
  </si>
  <si>
    <t>2024-02-25 23:02:11</t>
  </si>
  <si>
    <t>GOPAL TRADERS</t>
  </si>
  <si>
    <t>GANGAKHED</t>
  </si>
  <si>
    <t>MH34BZ1065</t>
  </si>
  <si>
    <t>001546</t>
  </si>
  <si>
    <t>2024-02-25 23:02:29</t>
  </si>
  <si>
    <t>GOPAL TRADERS (BC)</t>
  </si>
  <si>
    <t>2024-02-25 20:02:25</t>
  </si>
  <si>
    <t>MH34BZ1066</t>
  </si>
  <si>
    <t>2024-02-25 23:02:44</t>
  </si>
  <si>
    <t>RENUKA HARDWARE</t>
  </si>
  <si>
    <t>TS01UC0598</t>
  </si>
  <si>
    <t>0818091811</t>
  </si>
  <si>
    <t>PHALKA</t>
  </si>
  <si>
    <t>HSD GAD</t>
  </si>
  <si>
    <t>HSD ADB</t>
  </si>
  <si>
    <t>ADVANCE</t>
  </si>
  <si>
    <t>TARPOULIN</t>
  </si>
  <si>
    <t xml:space="preserve">PHALKA </t>
  </si>
  <si>
    <t xml:space="preserve">KHARCHA </t>
  </si>
  <si>
    <t>TOTAL</t>
  </si>
  <si>
    <t xml:space="preserve">TARPOULIN </t>
  </si>
  <si>
    <t xml:space="preserve">OWN / ATTACH TRUCK CASH JAMA </t>
  </si>
  <si>
    <t>SHAKIR</t>
  </si>
  <si>
    <t xml:space="preserve">OWN / ATTACH BULK CASH JAMA </t>
  </si>
  <si>
    <t>EXTRA WARAI SHEMBALPIMPRI( 23.02.24 )</t>
  </si>
  <si>
    <t>31*80</t>
  </si>
  <si>
    <t>05*50</t>
  </si>
  <si>
    <t>TS01UC0913</t>
  </si>
  <si>
    <t>SHAREEF</t>
  </si>
  <si>
    <t>TS01UC0344</t>
  </si>
  <si>
    <t>BHATTA</t>
  </si>
  <si>
    <t>SHADAB</t>
  </si>
  <si>
    <t>MH34BZ0886</t>
  </si>
  <si>
    <t>SAFETY KIT KE + BHATTA</t>
  </si>
  <si>
    <t>MH34BZ0889</t>
  </si>
  <si>
    <t>MH34BZ1004</t>
  </si>
  <si>
    <t>MH34BZ1177</t>
  </si>
  <si>
    <t>BHUSSA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</si>
</sst>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8" sqref="C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2" t="s">
        <v>1</v>
      </c>
      <c r="B1" s="2" t="s">
        <v>6</v>
      </c>
      <c r="C1" s="2" t="s">
        <v>7</v>
      </c>
      <c r="D1" s="2" t="s">
        <v>4</v>
      </c>
      <c r="E1" s="2" t="s">
        <v>11</v>
      </c>
    </row>
    <row r="2" spans="1:5" s="21" customFormat="1">
      <c r="A2" s="20">
        <v>6812398779</v>
      </c>
      <c r="B2" s="21" t="s">
        <v>40</v>
      </c>
      <c r="C2" s="21" t="s">
        <v>123</v>
      </c>
      <c r="D2" s="21" t="s">
        <v>122</v>
      </c>
      <c r="E2" s="21">
        <v>26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F241-A793-4A8C-BB28-D8D0470ACB21}">
  <dimension ref="A1:Q65"/>
  <sheetViews>
    <sheetView topLeftCell="I1" workbookViewId="0">
      <selection activeCell="O3" sqref="O3"/>
    </sheetView>
  </sheetViews>
  <sheetFormatPr defaultColWidth="9.140625" defaultRowHeight="15"/>
  <cols>
    <col min="1" max="1" width="11" style="1" bestFit="1" customWidth="1"/>
    <col min="2" max="2" width="7" style="1" bestFit="1" customWidth="1"/>
    <col min="3" max="3" width="9.7109375" style="1" bestFit="1" customWidth="1"/>
    <col min="4" max="4" width="18.28515625" style="1" bestFit="1" customWidth="1"/>
    <col min="5" max="5" width="38.5703125" style="1" bestFit="1" customWidth="1"/>
    <col min="6" max="6" width="8" style="1" bestFit="1" customWidth="1"/>
    <col min="7" max="7" width="9" style="1" bestFit="1" customWidth="1"/>
    <col min="8" max="8" width="8.7109375" style="1" bestFit="1" customWidth="1"/>
    <col min="9" max="9" width="9.7109375" style="1" bestFit="1" customWidth="1"/>
    <col min="10" max="10" width="27.5703125" style="1" bestFit="1" customWidth="1"/>
    <col min="11" max="11" width="12.42578125" style="1" bestFit="1" customWidth="1"/>
    <col min="12" max="12" width="8.28515625" style="1" customWidth="1"/>
    <col min="13" max="13" width="11" style="1" bestFit="1" customWidth="1"/>
    <col min="14" max="14" width="11.140625" style="1" bestFit="1" customWidth="1"/>
    <col min="15" max="15" width="8.7109375" style="1" bestFit="1" customWidth="1"/>
    <col min="16" max="16" width="11.7109375" style="1" bestFit="1" customWidth="1"/>
    <col min="17" max="17" width="18.28515625" style="1" bestFit="1" customWidth="1"/>
    <col min="18" max="16384" width="9.140625" style="1"/>
  </cols>
  <sheetData>
    <row r="1" spans="1:17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s="4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157</v>
      </c>
      <c r="G2" s="3" t="s">
        <v>158</v>
      </c>
      <c r="H2" s="3" t="s">
        <v>159</v>
      </c>
      <c r="I2" s="3" t="s">
        <v>160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</row>
    <row r="3" spans="1:17">
      <c r="A3" s="5">
        <v>6335001649</v>
      </c>
      <c r="B3" s="5">
        <v>15</v>
      </c>
      <c r="C3" s="1" t="s">
        <v>14</v>
      </c>
      <c r="D3" s="1" t="s">
        <v>15</v>
      </c>
      <c r="E3" s="1" t="s">
        <v>16</v>
      </c>
      <c r="F3" s="1">
        <v>1700</v>
      </c>
      <c r="G3" s="1">
        <v>0</v>
      </c>
      <c r="H3" s="1">
        <v>160</v>
      </c>
      <c r="I3" s="1">
        <v>3000</v>
      </c>
      <c r="J3" s="1" t="s">
        <v>17</v>
      </c>
      <c r="K3" s="1" t="s">
        <v>18</v>
      </c>
      <c r="L3" s="5">
        <v>1125</v>
      </c>
      <c r="M3" s="5">
        <v>9422939850</v>
      </c>
      <c r="N3" s="1" t="s">
        <v>19</v>
      </c>
      <c r="O3" s="1">
        <v>26</v>
      </c>
      <c r="P3" s="1" t="s">
        <v>20</v>
      </c>
    </row>
    <row r="4" spans="1:17">
      <c r="A4" s="5">
        <v>6335001653</v>
      </c>
      <c r="B4" s="5">
        <v>1620</v>
      </c>
      <c r="C4" s="1" t="s">
        <v>14</v>
      </c>
      <c r="D4" s="1" t="s">
        <v>21</v>
      </c>
      <c r="E4" s="1" t="s">
        <v>22</v>
      </c>
      <c r="F4" s="1">
        <v>1700</v>
      </c>
      <c r="G4" s="1">
        <v>30</v>
      </c>
      <c r="H4" s="1">
        <v>100</v>
      </c>
      <c r="I4" s="1">
        <v>2500</v>
      </c>
      <c r="J4" s="1" t="s">
        <v>23</v>
      </c>
      <c r="K4" s="1" t="s">
        <v>24</v>
      </c>
      <c r="L4" s="5">
        <v>1125</v>
      </c>
      <c r="M4" s="5">
        <v>9370374531</v>
      </c>
      <c r="N4" s="1" t="s">
        <v>19</v>
      </c>
      <c r="O4" s="1">
        <v>26</v>
      </c>
      <c r="P4" s="1" t="s">
        <v>20</v>
      </c>
    </row>
    <row r="5" spans="1:17">
      <c r="A5" s="5">
        <v>6335001654</v>
      </c>
      <c r="B5" s="5">
        <v>11</v>
      </c>
      <c r="C5" s="1" t="s">
        <v>14</v>
      </c>
      <c r="D5" s="1" t="s">
        <v>25</v>
      </c>
      <c r="E5" s="1" t="s">
        <v>26</v>
      </c>
      <c r="F5" s="1">
        <v>1700</v>
      </c>
      <c r="G5" s="1">
        <v>40</v>
      </c>
      <c r="H5" s="1">
        <v>90</v>
      </c>
      <c r="I5" s="1">
        <v>2500</v>
      </c>
      <c r="J5" s="1" t="s">
        <v>27</v>
      </c>
      <c r="K5" s="1" t="s">
        <v>28</v>
      </c>
      <c r="L5" s="5">
        <v>1125</v>
      </c>
      <c r="N5" s="1" t="s">
        <v>19</v>
      </c>
      <c r="O5" s="1">
        <v>26</v>
      </c>
      <c r="P5" s="1" t="s">
        <v>20</v>
      </c>
    </row>
    <row r="6" spans="1:17">
      <c r="A6" s="5">
        <v>6335001655</v>
      </c>
      <c r="B6" s="5">
        <v>16</v>
      </c>
      <c r="C6" s="1" t="s">
        <v>14</v>
      </c>
      <c r="D6" s="1" t="s">
        <v>29</v>
      </c>
      <c r="E6" s="1" t="s">
        <v>30</v>
      </c>
      <c r="F6" s="1">
        <v>850</v>
      </c>
      <c r="G6" s="1">
        <v>40</v>
      </c>
      <c r="H6" s="1">
        <v>105</v>
      </c>
      <c r="I6" s="1">
        <v>2500</v>
      </c>
      <c r="J6" s="1" t="s">
        <v>31</v>
      </c>
      <c r="K6" s="1" t="s">
        <v>32</v>
      </c>
      <c r="L6" s="5">
        <v>1125</v>
      </c>
      <c r="M6" s="5">
        <v>9422167462</v>
      </c>
      <c r="N6" s="1" t="s">
        <v>19</v>
      </c>
      <c r="O6" s="1">
        <v>26</v>
      </c>
      <c r="P6" s="1" t="s">
        <v>20</v>
      </c>
    </row>
    <row r="7" spans="1:17">
      <c r="A7" s="5">
        <v>6335001656</v>
      </c>
      <c r="B7" s="5">
        <v>13</v>
      </c>
      <c r="C7" s="1" t="s">
        <v>14</v>
      </c>
      <c r="D7" s="1" t="s">
        <v>33</v>
      </c>
      <c r="E7" s="1" t="s">
        <v>34</v>
      </c>
      <c r="F7" s="1">
        <v>1280</v>
      </c>
      <c r="G7" s="1">
        <v>40</v>
      </c>
      <c r="H7" s="1">
        <v>85</v>
      </c>
      <c r="I7" s="1">
        <v>2500</v>
      </c>
      <c r="J7" s="1" t="s">
        <v>35</v>
      </c>
      <c r="K7" s="1" t="s">
        <v>36</v>
      </c>
      <c r="L7" s="5">
        <v>1125</v>
      </c>
      <c r="N7" s="1" t="s">
        <v>19</v>
      </c>
      <c r="O7" s="1">
        <v>26</v>
      </c>
      <c r="P7" s="1" t="s">
        <v>20</v>
      </c>
    </row>
    <row r="8" spans="1:17">
      <c r="A8" s="5">
        <v>6812398359</v>
      </c>
      <c r="B8" s="1" t="s">
        <v>37</v>
      </c>
      <c r="C8" s="5">
        <v>6980</v>
      </c>
      <c r="D8" s="1" t="s">
        <v>38</v>
      </c>
      <c r="E8" s="1" t="s">
        <v>39</v>
      </c>
      <c r="F8" s="1">
        <v>0</v>
      </c>
      <c r="G8" s="1">
        <v>40</v>
      </c>
      <c r="H8" s="1">
        <v>140</v>
      </c>
      <c r="I8" s="1">
        <v>3000</v>
      </c>
      <c r="J8" s="1" t="s">
        <v>40</v>
      </c>
      <c r="K8" s="1" t="s">
        <v>41</v>
      </c>
      <c r="L8" s="5">
        <v>1125</v>
      </c>
      <c r="N8" s="1" t="s">
        <v>42</v>
      </c>
      <c r="O8" s="1">
        <v>10</v>
      </c>
      <c r="P8" s="1" t="s">
        <v>20</v>
      </c>
    </row>
    <row r="9" spans="1:17">
      <c r="A9" s="5">
        <v>6812398360</v>
      </c>
      <c r="B9" s="1" t="s">
        <v>43</v>
      </c>
      <c r="C9" s="5">
        <v>6980</v>
      </c>
      <c r="D9" s="1" t="s">
        <v>44</v>
      </c>
      <c r="E9" s="1" t="s">
        <v>39</v>
      </c>
      <c r="F9" s="1">
        <v>0</v>
      </c>
      <c r="G9" s="1">
        <v>0</v>
      </c>
      <c r="H9" s="1">
        <v>0</v>
      </c>
      <c r="I9" s="1">
        <v>0</v>
      </c>
      <c r="J9" s="1" t="s">
        <v>40</v>
      </c>
      <c r="K9" s="1" t="s">
        <v>41</v>
      </c>
      <c r="L9" s="5">
        <v>1125</v>
      </c>
      <c r="N9" s="1" t="s">
        <v>19</v>
      </c>
      <c r="O9" s="1">
        <v>16</v>
      </c>
      <c r="P9" s="1" t="s">
        <v>20</v>
      </c>
    </row>
    <row r="10" spans="1:17">
      <c r="A10" s="5">
        <v>6812398583</v>
      </c>
      <c r="B10" s="5">
        <v>1647</v>
      </c>
      <c r="C10" s="5">
        <v>6980</v>
      </c>
      <c r="D10" s="1" t="s">
        <v>45</v>
      </c>
      <c r="E10" s="1" t="s">
        <v>46</v>
      </c>
      <c r="F10" s="1">
        <v>0</v>
      </c>
      <c r="G10" s="1">
        <v>50</v>
      </c>
      <c r="H10" s="1">
        <v>185</v>
      </c>
      <c r="I10" s="1">
        <v>2300</v>
      </c>
      <c r="J10" s="1" t="s">
        <v>47</v>
      </c>
      <c r="K10" s="1" t="s">
        <v>48</v>
      </c>
      <c r="L10" s="5">
        <v>1115</v>
      </c>
      <c r="N10" s="1" t="s">
        <v>19</v>
      </c>
      <c r="O10" s="1">
        <v>26</v>
      </c>
      <c r="P10" s="1" t="s">
        <v>20</v>
      </c>
    </row>
    <row r="11" spans="1:17">
      <c r="A11" s="5">
        <v>6812398598</v>
      </c>
      <c r="B11" s="5">
        <v>1552</v>
      </c>
      <c r="C11" s="5">
        <v>6980</v>
      </c>
      <c r="D11" s="1" t="s">
        <v>49</v>
      </c>
      <c r="E11" s="1" t="s">
        <v>50</v>
      </c>
      <c r="F11" s="1">
        <v>0</v>
      </c>
      <c r="G11" s="1">
        <v>40</v>
      </c>
      <c r="H11" s="1">
        <v>90</v>
      </c>
      <c r="I11" s="1">
        <v>2500</v>
      </c>
      <c r="J11" s="1" t="s">
        <v>51</v>
      </c>
      <c r="K11" s="1" t="s">
        <v>52</v>
      </c>
      <c r="L11" s="5">
        <v>1125</v>
      </c>
      <c r="M11" s="1" t="s">
        <v>53</v>
      </c>
      <c r="N11" s="1" t="s">
        <v>19</v>
      </c>
      <c r="O11" s="1">
        <v>26</v>
      </c>
      <c r="P11" s="1" t="s">
        <v>20</v>
      </c>
    </row>
    <row r="12" spans="1:17">
      <c r="A12" s="5">
        <v>6812398601</v>
      </c>
      <c r="B12" s="5">
        <v>1553</v>
      </c>
      <c r="C12" s="5">
        <v>6980</v>
      </c>
      <c r="D12" s="1" t="s">
        <v>54</v>
      </c>
      <c r="E12" s="1" t="s">
        <v>55</v>
      </c>
      <c r="F12" s="1">
        <v>0</v>
      </c>
      <c r="G12" s="1">
        <v>50</v>
      </c>
      <c r="H12" s="1">
        <v>130</v>
      </c>
      <c r="I12" s="1">
        <v>1240</v>
      </c>
      <c r="J12" s="1" t="s">
        <v>56</v>
      </c>
      <c r="K12" s="1" t="s">
        <v>57</v>
      </c>
      <c r="L12" s="5">
        <v>1125</v>
      </c>
      <c r="M12" s="5">
        <v>9423141979</v>
      </c>
      <c r="N12" s="1" t="s">
        <v>19</v>
      </c>
      <c r="O12" s="1">
        <v>26</v>
      </c>
      <c r="P12" s="1" t="s">
        <v>20</v>
      </c>
    </row>
    <row r="13" spans="1:17">
      <c r="A13" s="5">
        <v>6812398602</v>
      </c>
      <c r="B13" s="5">
        <v>1554</v>
      </c>
      <c r="C13" s="5">
        <v>6980</v>
      </c>
      <c r="D13" s="1" t="s">
        <v>58</v>
      </c>
      <c r="E13" s="1" t="s">
        <v>55</v>
      </c>
      <c r="F13" s="1">
        <v>0</v>
      </c>
      <c r="G13" s="1">
        <v>40</v>
      </c>
      <c r="H13" s="1">
        <v>135</v>
      </c>
      <c r="I13" s="1">
        <v>1240</v>
      </c>
      <c r="J13" s="1" t="s">
        <v>59</v>
      </c>
      <c r="K13" s="1" t="s">
        <v>60</v>
      </c>
      <c r="L13" s="5">
        <v>1125</v>
      </c>
      <c r="M13" s="1" t="s">
        <v>61</v>
      </c>
      <c r="N13" s="1" t="s">
        <v>19</v>
      </c>
      <c r="O13" s="1">
        <v>26</v>
      </c>
      <c r="P13" s="1" t="s">
        <v>20</v>
      </c>
    </row>
    <row r="14" spans="1:17">
      <c r="A14" s="5">
        <v>6812398608</v>
      </c>
      <c r="B14" s="5">
        <v>1570</v>
      </c>
      <c r="C14" s="5">
        <v>6980</v>
      </c>
      <c r="D14" s="1" t="s">
        <v>62</v>
      </c>
      <c r="E14" s="1" t="s">
        <v>46</v>
      </c>
      <c r="F14" s="1">
        <v>0</v>
      </c>
      <c r="G14" s="1">
        <v>0</v>
      </c>
      <c r="H14" s="1">
        <v>235</v>
      </c>
      <c r="I14" s="1">
        <v>2300</v>
      </c>
      <c r="J14" s="1" t="s">
        <v>47</v>
      </c>
      <c r="K14" s="1" t="s">
        <v>63</v>
      </c>
      <c r="L14" s="5">
        <v>1115</v>
      </c>
      <c r="N14" s="1" t="s">
        <v>19</v>
      </c>
      <c r="O14" s="1">
        <v>26</v>
      </c>
      <c r="P14" s="1" t="s">
        <v>20</v>
      </c>
    </row>
    <row r="15" spans="1:17">
      <c r="A15" s="5">
        <v>6812398610</v>
      </c>
      <c r="B15" s="5">
        <v>1571</v>
      </c>
      <c r="C15" s="5">
        <v>6980</v>
      </c>
      <c r="D15" s="1" t="s">
        <v>64</v>
      </c>
      <c r="E15" s="1" t="s">
        <v>46</v>
      </c>
      <c r="F15" s="1">
        <v>0</v>
      </c>
      <c r="G15" s="1">
        <v>40</v>
      </c>
      <c r="H15" s="1">
        <v>195</v>
      </c>
      <c r="I15" s="1">
        <v>2300</v>
      </c>
      <c r="J15" s="1" t="s">
        <v>47</v>
      </c>
      <c r="K15" s="1" t="s">
        <v>65</v>
      </c>
      <c r="L15" s="5">
        <v>1115</v>
      </c>
      <c r="N15" s="1" t="s">
        <v>19</v>
      </c>
      <c r="O15" s="1">
        <v>26</v>
      </c>
      <c r="P15" s="1" t="s">
        <v>20</v>
      </c>
    </row>
    <row r="16" spans="1:17">
      <c r="A16" s="5">
        <v>6812398620</v>
      </c>
      <c r="B16" s="5">
        <v>1576</v>
      </c>
      <c r="C16" s="5">
        <v>6980</v>
      </c>
      <c r="D16" s="1" t="s">
        <v>66</v>
      </c>
      <c r="E16" s="1" t="s">
        <v>50</v>
      </c>
      <c r="F16" s="1">
        <v>2550</v>
      </c>
      <c r="G16" s="1">
        <v>50</v>
      </c>
      <c r="H16" s="1">
        <v>35</v>
      </c>
      <c r="I16" s="1">
        <v>2500</v>
      </c>
      <c r="J16" s="1" t="s">
        <v>67</v>
      </c>
      <c r="K16" s="1" t="s">
        <v>68</v>
      </c>
      <c r="L16" s="5">
        <v>1123</v>
      </c>
      <c r="M16" s="1" t="s">
        <v>69</v>
      </c>
      <c r="N16" s="1" t="s">
        <v>19</v>
      </c>
      <c r="O16" s="1">
        <v>21</v>
      </c>
      <c r="P16" s="1" t="s">
        <v>20</v>
      </c>
    </row>
    <row r="17" spans="1:17">
      <c r="A17" s="5">
        <v>6812398661</v>
      </c>
      <c r="B17" s="5">
        <v>1502</v>
      </c>
      <c r="C17" s="5">
        <v>6980</v>
      </c>
      <c r="D17" s="1" t="s">
        <v>70</v>
      </c>
      <c r="E17" s="1" t="s">
        <v>55</v>
      </c>
      <c r="F17" s="1">
        <v>0</v>
      </c>
      <c r="G17" s="1">
        <v>50</v>
      </c>
      <c r="H17" s="1">
        <v>135</v>
      </c>
      <c r="I17" s="1">
        <v>2500</v>
      </c>
      <c r="J17" s="1" t="s">
        <v>71</v>
      </c>
      <c r="K17" s="1" t="s">
        <v>72</v>
      </c>
      <c r="L17" s="5">
        <v>1125</v>
      </c>
      <c r="M17" s="5">
        <v>9822389082</v>
      </c>
      <c r="N17" s="1" t="s">
        <v>19</v>
      </c>
      <c r="O17" s="1">
        <v>26</v>
      </c>
      <c r="P17" s="1" t="s">
        <v>20</v>
      </c>
    </row>
    <row r="18" spans="1:17">
      <c r="A18" s="5">
        <v>6812398662</v>
      </c>
      <c r="B18" s="5">
        <v>1507</v>
      </c>
      <c r="C18" s="5">
        <v>6980</v>
      </c>
      <c r="D18" s="1" t="s">
        <v>73</v>
      </c>
      <c r="E18" s="1" t="s">
        <v>34</v>
      </c>
      <c r="F18" s="1">
        <v>0</v>
      </c>
      <c r="G18" s="1">
        <v>135</v>
      </c>
      <c r="H18" s="1">
        <v>0</v>
      </c>
      <c r="I18" s="1">
        <v>2500</v>
      </c>
      <c r="J18" s="1" t="s">
        <v>74</v>
      </c>
      <c r="K18" s="1" t="s">
        <v>75</v>
      </c>
      <c r="L18" s="5">
        <v>1125</v>
      </c>
      <c r="N18" s="1" t="s">
        <v>19</v>
      </c>
      <c r="O18" s="1">
        <v>26</v>
      </c>
      <c r="P18" s="1" t="s">
        <v>20</v>
      </c>
    </row>
    <row r="19" spans="1:17">
      <c r="A19" s="5">
        <v>6812398669</v>
      </c>
      <c r="B19" s="5">
        <v>1503</v>
      </c>
      <c r="C19" s="5">
        <v>6980</v>
      </c>
      <c r="D19" s="1" t="s">
        <v>76</v>
      </c>
      <c r="E19" s="1" t="s">
        <v>77</v>
      </c>
      <c r="F19" s="1">
        <v>0</v>
      </c>
      <c r="G19" s="1">
        <v>50</v>
      </c>
      <c r="H19" s="1">
        <v>130</v>
      </c>
      <c r="I19" s="1">
        <v>3000</v>
      </c>
      <c r="J19" s="1" t="s">
        <v>17</v>
      </c>
      <c r="K19" s="1" t="s">
        <v>78</v>
      </c>
      <c r="L19" s="5">
        <v>1125</v>
      </c>
      <c r="M19" s="5">
        <v>9420185680</v>
      </c>
      <c r="N19" s="1" t="s">
        <v>19</v>
      </c>
      <c r="O19" s="1">
        <v>26</v>
      </c>
      <c r="P19" s="1" t="s">
        <v>20</v>
      </c>
    </row>
    <row r="20" spans="1:17">
      <c r="A20" s="5">
        <v>6812398679</v>
      </c>
      <c r="B20" s="1" t="s">
        <v>79</v>
      </c>
      <c r="C20" s="5">
        <v>6980</v>
      </c>
      <c r="D20" s="1" t="s">
        <v>80</v>
      </c>
      <c r="E20" s="1" t="s">
        <v>81</v>
      </c>
      <c r="F20" s="1">
        <v>0</v>
      </c>
      <c r="G20" s="1">
        <v>40</v>
      </c>
      <c r="H20" s="1">
        <v>140</v>
      </c>
      <c r="I20" s="1">
        <v>1240</v>
      </c>
      <c r="J20" s="1" t="s">
        <v>56</v>
      </c>
      <c r="K20" s="1" t="s">
        <v>82</v>
      </c>
      <c r="L20" s="5">
        <v>1125</v>
      </c>
      <c r="M20" s="5">
        <v>9423444637</v>
      </c>
      <c r="N20" s="1" t="s">
        <v>19</v>
      </c>
      <c r="O20" s="1">
        <v>16</v>
      </c>
      <c r="P20" s="1" t="s">
        <v>20</v>
      </c>
    </row>
    <row r="21" spans="1:17">
      <c r="A21" s="5">
        <v>6812398680</v>
      </c>
      <c r="B21" s="1" t="s">
        <v>83</v>
      </c>
      <c r="C21" s="5">
        <v>6980</v>
      </c>
      <c r="D21" s="1" t="s">
        <v>84</v>
      </c>
      <c r="E21" s="1" t="s">
        <v>81</v>
      </c>
      <c r="F21" s="1">
        <v>0</v>
      </c>
      <c r="G21" s="1">
        <v>0</v>
      </c>
      <c r="H21" s="1">
        <v>0</v>
      </c>
      <c r="I21" s="1">
        <v>0</v>
      </c>
      <c r="J21" s="1" t="s">
        <v>56</v>
      </c>
      <c r="K21" s="1" t="s">
        <v>82</v>
      </c>
      <c r="L21" s="5">
        <v>1125</v>
      </c>
      <c r="M21" s="5">
        <v>9423444637</v>
      </c>
      <c r="N21" s="1" t="s">
        <v>42</v>
      </c>
      <c r="O21" s="1">
        <v>10</v>
      </c>
      <c r="P21" s="1" t="s">
        <v>20</v>
      </c>
    </row>
    <row r="22" spans="1:17">
      <c r="A22" s="5">
        <v>6812398689</v>
      </c>
      <c r="B22" s="5">
        <v>1506</v>
      </c>
      <c r="C22" s="5">
        <v>6980</v>
      </c>
      <c r="D22" s="1" t="s">
        <v>85</v>
      </c>
      <c r="E22" s="1" t="s">
        <v>86</v>
      </c>
      <c r="F22" s="1">
        <v>850</v>
      </c>
      <c r="G22" s="1">
        <v>0</v>
      </c>
      <c r="H22" s="1">
        <v>145</v>
      </c>
      <c r="I22" s="1">
        <v>1240</v>
      </c>
      <c r="J22" s="1" t="s">
        <v>87</v>
      </c>
      <c r="K22" s="1" t="s">
        <v>88</v>
      </c>
      <c r="L22" s="5">
        <v>1125</v>
      </c>
      <c r="M22" s="5">
        <v>9175015550</v>
      </c>
      <c r="N22" s="1" t="s">
        <v>19</v>
      </c>
      <c r="O22" s="1">
        <v>26</v>
      </c>
      <c r="P22" s="1" t="s">
        <v>20</v>
      </c>
    </row>
    <row r="23" spans="1:17">
      <c r="A23" s="5">
        <v>6812398694</v>
      </c>
      <c r="B23" s="1" t="s">
        <v>89</v>
      </c>
      <c r="C23" s="5">
        <v>6980</v>
      </c>
      <c r="D23" s="1" t="s">
        <v>90</v>
      </c>
      <c r="E23" s="1" t="s">
        <v>91</v>
      </c>
      <c r="F23" s="1">
        <v>2550</v>
      </c>
      <c r="G23" s="1">
        <v>50</v>
      </c>
      <c r="H23" s="1">
        <v>95</v>
      </c>
      <c r="I23" s="1">
        <f>1240+1100</f>
        <v>2340</v>
      </c>
      <c r="J23" s="1" t="s">
        <v>92</v>
      </c>
      <c r="K23" s="1" t="s">
        <v>93</v>
      </c>
      <c r="L23" s="5">
        <v>1125</v>
      </c>
      <c r="M23" s="1" t="s">
        <v>94</v>
      </c>
      <c r="N23" s="1" t="s">
        <v>19</v>
      </c>
      <c r="O23" s="1">
        <v>16</v>
      </c>
      <c r="P23" s="1" t="s">
        <v>20</v>
      </c>
    </row>
    <row r="24" spans="1:17">
      <c r="A24" s="5">
        <v>6812398695</v>
      </c>
      <c r="B24" s="1" t="s">
        <v>95</v>
      </c>
      <c r="C24" s="5">
        <v>6980</v>
      </c>
      <c r="D24" s="1" t="s">
        <v>96</v>
      </c>
      <c r="E24" s="1" t="s">
        <v>91</v>
      </c>
      <c r="F24" s="1">
        <v>0</v>
      </c>
      <c r="G24" s="1">
        <v>0</v>
      </c>
      <c r="H24" s="1">
        <v>0</v>
      </c>
      <c r="I24" s="1">
        <v>0</v>
      </c>
      <c r="J24" s="1" t="s">
        <v>92</v>
      </c>
      <c r="K24" s="1" t="s">
        <v>93</v>
      </c>
      <c r="L24" s="5">
        <v>1125</v>
      </c>
      <c r="M24" s="1" t="s">
        <v>94</v>
      </c>
      <c r="N24" s="1" t="s">
        <v>42</v>
      </c>
      <c r="O24" s="1">
        <v>10</v>
      </c>
      <c r="P24" s="1" t="s">
        <v>20</v>
      </c>
    </row>
    <row r="25" spans="1:17">
      <c r="A25" s="5">
        <v>6812398699</v>
      </c>
      <c r="B25" s="5">
        <v>1504</v>
      </c>
      <c r="C25" s="5">
        <v>6980</v>
      </c>
      <c r="D25" s="1" t="s">
        <v>97</v>
      </c>
      <c r="E25" s="1" t="s">
        <v>98</v>
      </c>
      <c r="F25" s="1">
        <v>1700</v>
      </c>
      <c r="G25" s="1">
        <v>0</v>
      </c>
      <c r="H25" s="1">
        <v>120</v>
      </c>
      <c r="I25" s="1">
        <v>1540</v>
      </c>
      <c r="J25" s="1" t="s">
        <v>99</v>
      </c>
      <c r="K25" s="1" t="s">
        <v>100</v>
      </c>
      <c r="L25" s="5">
        <v>1123</v>
      </c>
      <c r="M25" s="5">
        <v>9822767747</v>
      </c>
      <c r="N25" s="1" t="s">
        <v>19</v>
      </c>
      <c r="O25" s="1">
        <v>21</v>
      </c>
      <c r="P25" s="1" t="s">
        <v>101</v>
      </c>
      <c r="Q25" s="1" t="s">
        <v>102</v>
      </c>
    </row>
    <row r="26" spans="1:17">
      <c r="A26" s="5">
        <v>6812398701</v>
      </c>
      <c r="B26" s="5">
        <v>1502</v>
      </c>
      <c r="C26" s="5">
        <v>6980</v>
      </c>
      <c r="D26" s="1" t="s">
        <v>103</v>
      </c>
      <c r="E26" s="1" t="s">
        <v>104</v>
      </c>
      <c r="F26" s="1">
        <v>0</v>
      </c>
      <c r="G26" s="1">
        <v>40</v>
      </c>
      <c r="H26" s="1">
        <v>140</v>
      </c>
      <c r="I26" s="1">
        <v>1240</v>
      </c>
      <c r="J26" s="1" t="s">
        <v>105</v>
      </c>
      <c r="K26" s="1" t="s">
        <v>106</v>
      </c>
      <c r="L26" s="5">
        <v>1125</v>
      </c>
      <c r="M26" s="5">
        <v>8830368359</v>
      </c>
      <c r="N26" s="1" t="s">
        <v>42</v>
      </c>
      <c r="O26" s="1">
        <v>26</v>
      </c>
      <c r="P26" s="1" t="s">
        <v>20</v>
      </c>
    </row>
    <row r="27" spans="1:17">
      <c r="A27" s="5">
        <v>6812398704</v>
      </c>
      <c r="B27" s="5">
        <v>1521</v>
      </c>
      <c r="C27" s="5">
        <v>6980</v>
      </c>
      <c r="D27" s="1" t="s">
        <v>107</v>
      </c>
      <c r="E27" s="1" t="s">
        <v>108</v>
      </c>
      <c r="F27" s="1">
        <v>0</v>
      </c>
      <c r="G27" s="1">
        <v>0</v>
      </c>
      <c r="H27" s="1">
        <v>230</v>
      </c>
      <c r="I27" s="1">
        <v>2300</v>
      </c>
      <c r="J27" s="1" t="s">
        <v>109</v>
      </c>
      <c r="K27" s="1" t="s">
        <v>110</v>
      </c>
      <c r="L27" s="5">
        <v>1115</v>
      </c>
      <c r="M27" s="5">
        <v>9657724396</v>
      </c>
      <c r="N27" s="1" t="s">
        <v>19</v>
      </c>
      <c r="O27" s="1">
        <v>26</v>
      </c>
      <c r="P27" s="1" t="s">
        <v>20</v>
      </c>
    </row>
    <row r="28" spans="1:17">
      <c r="A28" s="5">
        <v>6812398745</v>
      </c>
      <c r="B28" s="5">
        <v>1521</v>
      </c>
      <c r="C28" s="5">
        <v>6980</v>
      </c>
      <c r="D28" s="1" t="s">
        <v>111</v>
      </c>
      <c r="E28" s="1" t="s">
        <v>112</v>
      </c>
      <c r="F28" s="1">
        <v>2550</v>
      </c>
      <c r="G28" s="1">
        <v>0</v>
      </c>
      <c r="H28" s="1">
        <v>275</v>
      </c>
      <c r="I28" s="1">
        <v>3600</v>
      </c>
      <c r="J28" s="1" t="s">
        <v>113</v>
      </c>
      <c r="K28" s="1" t="s">
        <v>114</v>
      </c>
      <c r="L28" s="5">
        <v>5166</v>
      </c>
      <c r="M28" s="5">
        <v>9329355033</v>
      </c>
      <c r="N28" s="1" t="s">
        <v>115</v>
      </c>
      <c r="O28" s="1">
        <v>30.72</v>
      </c>
      <c r="P28" s="1" t="s">
        <v>20</v>
      </c>
    </row>
    <row r="29" spans="1:17">
      <c r="A29" s="5">
        <v>6812398749</v>
      </c>
      <c r="B29" s="5">
        <v>1522</v>
      </c>
      <c r="C29" s="5">
        <v>6980</v>
      </c>
      <c r="D29" s="1" t="s">
        <v>116</v>
      </c>
      <c r="E29" s="1" t="s">
        <v>112</v>
      </c>
      <c r="F29" s="1">
        <v>1700</v>
      </c>
      <c r="G29" s="1">
        <v>0</v>
      </c>
      <c r="H29" s="1">
        <v>265</v>
      </c>
      <c r="I29" s="1">
        <v>3600</v>
      </c>
      <c r="J29" s="1" t="s">
        <v>113</v>
      </c>
      <c r="K29" s="1" t="s">
        <v>117</v>
      </c>
      <c r="L29" s="5">
        <v>5166</v>
      </c>
      <c r="M29" s="5">
        <v>9329355033</v>
      </c>
      <c r="N29" s="1" t="s">
        <v>115</v>
      </c>
      <c r="O29" s="1">
        <v>30.58</v>
      </c>
      <c r="P29" s="1" t="s">
        <v>20</v>
      </c>
    </row>
    <row r="30" spans="1:17">
      <c r="A30" s="5">
        <v>6812398750</v>
      </c>
      <c r="B30" s="5">
        <v>1523</v>
      </c>
      <c r="C30" s="5">
        <v>6980</v>
      </c>
      <c r="D30" s="1" t="s">
        <v>118</v>
      </c>
      <c r="E30" s="1" t="s">
        <v>112</v>
      </c>
      <c r="F30" s="1">
        <v>2550</v>
      </c>
      <c r="G30" s="1">
        <v>0</v>
      </c>
      <c r="H30" s="1">
        <v>225</v>
      </c>
      <c r="I30" s="1">
        <v>3600</v>
      </c>
      <c r="J30" s="1" t="s">
        <v>113</v>
      </c>
      <c r="K30" s="1" t="s">
        <v>119</v>
      </c>
      <c r="L30" s="5">
        <v>5166</v>
      </c>
      <c r="M30" s="5">
        <v>9329355033</v>
      </c>
      <c r="N30" s="1" t="s">
        <v>115</v>
      </c>
      <c r="O30" s="1">
        <v>29.38</v>
      </c>
      <c r="P30" s="1" t="s">
        <v>20</v>
      </c>
    </row>
    <row r="31" spans="1:17">
      <c r="A31" s="5">
        <v>6812398775</v>
      </c>
      <c r="B31" s="5">
        <v>1527</v>
      </c>
      <c r="C31" s="5">
        <v>6980</v>
      </c>
      <c r="D31" s="1" t="s">
        <v>120</v>
      </c>
      <c r="E31" s="1" t="s">
        <v>46</v>
      </c>
      <c r="F31" s="1">
        <v>1700</v>
      </c>
      <c r="G31" s="1">
        <v>215</v>
      </c>
      <c r="H31" s="1">
        <v>0</v>
      </c>
      <c r="I31" s="1">
        <v>2300</v>
      </c>
      <c r="J31" s="1" t="s">
        <v>47</v>
      </c>
      <c r="K31" s="1" t="s">
        <v>121</v>
      </c>
      <c r="L31" s="5">
        <v>1115</v>
      </c>
      <c r="N31" s="1" t="s">
        <v>19</v>
      </c>
      <c r="O31" s="1">
        <v>26</v>
      </c>
      <c r="P31" s="1" t="s">
        <v>20</v>
      </c>
    </row>
    <row r="32" spans="1:17">
      <c r="A32" s="5">
        <v>6812398779</v>
      </c>
      <c r="B32" s="5">
        <v>1549</v>
      </c>
      <c r="C32" s="5">
        <v>6980</v>
      </c>
      <c r="D32" s="1" t="s">
        <v>122</v>
      </c>
      <c r="E32" s="1" t="s">
        <v>16</v>
      </c>
      <c r="F32" s="1">
        <v>0</v>
      </c>
      <c r="G32" s="1">
        <v>180</v>
      </c>
      <c r="H32" s="1">
        <v>0</v>
      </c>
      <c r="I32" s="1">
        <v>3000</v>
      </c>
      <c r="J32" s="1" t="s">
        <v>40</v>
      </c>
      <c r="K32" s="1" t="s">
        <v>123</v>
      </c>
      <c r="L32" s="5">
        <v>1125</v>
      </c>
      <c r="M32" s="5">
        <v>9028437899</v>
      </c>
      <c r="N32" s="1" t="s">
        <v>42</v>
      </c>
      <c r="O32" s="1">
        <v>26</v>
      </c>
      <c r="P32" s="1" t="s">
        <v>20</v>
      </c>
    </row>
    <row r="33" spans="1:16">
      <c r="A33" s="5">
        <v>6812398780</v>
      </c>
      <c r="B33" s="5">
        <v>1547</v>
      </c>
      <c r="C33" s="5">
        <v>6980</v>
      </c>
      <c r="D33" s="1" t="s">
        <v>124</v>
      </c>
      <c r="E33" s="1" t="s">
        <v>16</v>
      </c>
      <c r="F33" s="1">
        <v>0</v>
      </c>
      <c r="G33" s="1">
        <v>180</v>
      </c>
      <c r="H33" s="1">
        <v>0</v>
      </c>
      <c r="I33" s="1">
        <v>3000</v>
      </c>
      <c r="J33" s="1" t="s">
        <v>40</v>
      </c>
      <c r="K33" s="1" t="s">
        <v>125</v>
      </c>
      <c r="L33" s="5">
        <v>1125</v>
      </c>
      <c r="M33" s="5">
        <v>9028437899</v>
      </c>
      <c r="N33" s="1" t="s">
        <v>19</v>
      </c>
      <c r="O33" s="1">
        <v>26</v>
      </c>
      <c r="P33" s="1" t="s">
        <v>20</v>
      </c>
    </row>
    <row r="34" spans="1:16">
      <c r="A34" s="5">
        <v>6812398800</v>
      </c>
      <c r="B34" s="5">
        <v>1529</v>
      </c>
      <c r="C34" s="5">
        <v>6980</v>
      </c>
      <c r="D34" s="1" t="s">
        <v>126</v>
      </c>
      <c r="E34" s="1" t="s">
        <v>127</v>
      </c>
      <c r="F34" s="1">
        <v>0</v>
      </c>
      <c r="G34" s="1">
        <v>0</v>
      </c>
      <c r="H34" s="1">
        <v>0</v>
      </c>
      <c r="I34" s="1">
        <v>0</v>
      </c>
      <c r="J34" s="1" t="s">
        <v>128</v>
      </c>
      <c r="K34" s="1" t="s">
        <v>129</v>
      </c>
      <c r="L34" s="5">
        <v>1127</v>
      </c>
      <c r="M34" s="5">
        <v>7350245222</v>
      </c>
      <c r="N34" s="1" t="s">
        <v>19</v>
      </c>
      <c r="O34" s="1">
        <v>32</v>
      </c>
      <c r="P34" s="1" t="s">
        <v>20</v>
      </c>
    </row>
    <row r="35" spans="1:16">
      <c r="A35" s="5">
        <v>6812398811</v>
      </c>
      <c r="B35" s="5">
        <v>1537</v>
      </c>
      <c r="C35" s="5">
        <v>6980</v>
      </c>
      <c r="D35" s="1" t="s">
        <v>130</v>
      </c>
      <c r="E35" s="1" t="s">
        <v>131</v>
      </c>
      <c r="F35" s="1">
        <v>2550</v>
      </c>
      <c r="G35" s="1">
        <v>0</v>
      </c>
      <c r="H35" s="1">
        <v>260</v>
      </c>
      <c r="I35" s="1">
        <v>3600</v>
      </c>
      <c r="J35" s="1" t="s">
        <v>132</v>
      </c>
      <c r="K35" s="1" t="s">
        <v>133</v>
      </c>
      <c r="L35" s="5">
        <v>5166</v>
      </c>
      <c r="M35" s="5">
        <v>9421308840</v>
      </c>
      <c r="N35" s="1" t="s">
        <v>134</v>
      </c>
      <c r="O35" s="1">
        <v>30.32</v>
      </c>
      <c r="P35" s="1" t="s">
        <v>20</v>
      </c>
    </row>
    <row r="36" spans="1:16">
      <c r="A36" s="5">
        <v>6812398813</v>
      </c>
      <c r="B36" s="5">
        <v>1538</v>
      </c>
      <c r="C36" s="5">
        <v>6980</v>
      </c>
      <c r="D36" s="1" t="s">
        <v>135</v>
      </c>
      <c r="E36" s="1" t="s">
        <v>131</v>
      </c>
      <c r="F36" s="1">
        <v>2550</v>
      </c>
      <c r="G36" s="1">
        <v>0</v>
      </c>
      <c r="H36" s="1">
        <v>270</v>
      </c>
      <c r="I36" s="1">
        <v>3600</v>
      </c>
      <c r="J36" s="1" t="s">
        <v>132</v>
      </c>
      <c r="K36" s="1" t="s">
        <v>136</v>
      </c>
      <c r="L36" s="5">
        <v>5166</v>
      </c>
      <c r="M36" s="5">
        <v>9421308840</v>
      </c>
      <c r="N36" s="1" t="s">
        <v>134</v>
      </c>
      <c r="O36" s="1">
        <v>30.9</v>
      </c>
      <c r="P36" s="1" t="s">
        <v>20</v>
      </c>
    </row>
    <row r="37" spans="1:16">
      <c r="A37" s="5">
        <v>6812398906</v>
      </c>
      <c r="B37" s="1" t="s">
        <v>137</v>
      </c>
      <c r="C37" s="5">
        <v>6980</v>
      </c>
      <c r="D37" s="1" t="s">
        <v>138</v>
      </c>
      <c r="E37" s="1" t="s">
        <v>104</v>
      </c>
      <c r="F37" s="1">
        <v>0</v>
      </c>
      <c r="G37" s="1">
        <v>180</v>
      </c>
      <c r="H37" s="1">
        <v>0</v>
      </c>
      <c r="I37" s="1">
        <v>1240</v>
      </c>
      <c r="J37" s="1" t="s">
        <v>139</v>
      </c>
      <c r="K37" s="1" t="s">
        <v>140</v>
      </c>
      <c r="L37" s="5">
        <v>1125</v>
      </c>
      <c r="M37" s="5">
        <v>9423655546</v>
      </c>
      <c r="N37" s="1" t="s">
        <v>42</v>
      </c>
      <c r="O37" s="1">
        <v>10</v>
      </c>
      <c r="P37" s="1" t="s">
        <v>20</v>
      </c>
    </row>
    <row r="38" spans="1:16">
      <c r="A38" s="5">
        <v>6812398907</v>
      </c>
      <c r="B38" s="1" t="s">
        <v>141</v>
      </c>
      <c r="C38" s="5">
        <v>6980</v>
      </c>
      <c r="D38" s="1" t="s">
        <v>142</v>
      </c>
      <c r="E38" s="1" t="s">
        <v>104</v>
      </c>
      <c r="F38" s="1">
        <v>0</v>
      </c>
      <c r="G38" s="1">
        <v>0</v>
      </c>
      <c r="H38" s="1">
        <v>0</v>
      </c>
      <c r="I38" s="1">
        <v>0</v>
      </c>
      <c r="J38" s="1" t="s">
        <v>139</v>
      </c>
      <c r="K38" s="1" t="s">
        <v>140</v>
      </c>
      <c r="L38" s="5">
        <v>1125</v>
      </c>
      <c r="M38" s="5">
        <v>9766224646</v>
      </c>
      <c r="N38" s="1" t="s">
        <v>42</v>
      </c>
      <c r="O38" s="1">
        <v>16</v>
      </c>
      <c r="P38" s="1" t="s">
        <v>20</v>
      </c>
    </row>
    <row r="39" spans="1:16">
      <c r="A39" s="5">
        <v>6812398908</v>
      </c>
      <c r="B39" s="1" t="s">
        <v>143</v>
      </c>
      <c r="C39" s="5">
        <v>6980</v>
      </c>
      <c r="D39" s="1" t="s">
        <v>144</v>
      </c>
      <c r="E39" s="1" t="s">
        <v>145</v>
      </c>
      <c r="F39" s="1">
        <v>0</v>
      </c>
      <c r="G39" s="1">
        <v>205</v>
      </c>
      <c r="H39" s="1">
        <v>0</v>
      </c>
      <c r="I39" s="1">
        <v>1440</v>
      </c>
      <c r="J39" s="1" t="s">
        <v>146</v>
      </c>
      <c r="K39" s="1" t="s">
        <v>147</v>
      </c>
      <c r="L39" s="5">
        <v>1125</v>
      </c>
      <c r="M39" s="5">
        <v>8788872107</v>
      </c>
      <c r="N39" s="1" t="s">
        <v>19</v>
      </c>
      <c r="O39" s="1">
        <v>13</v>
      </c>
      <c r="P39" s="1" t="s">
        <v>20</v>
      </c>
    </row>
    <row r="40" spans="1:16">
      <c r="A40" s="5">
        <v>6812398909</v>
      </c>
      <c r="B40" s="1" t="s">
        <v>148</v>
      </c>
      <c r="C40" s="5">
        <v>6980</v>
      </c>
      <c r="D40" s="1" t="s">
        <v>149</v>
      </c>
      <c r="E40" s="1" t="s">
        <v>150</v>
      </c>
      <c r="F40" s="1">
        <v>0</v>
      </c>
      <c r="G40" s="1">
        <v>0</v>
      </c>
      <c r="H40" s="1">
        <v>0</v>
      </c>
      <c r="I40" s="1">
        <v>0</v>
      </c>
      <c r="J40" s="1" t="s">
        <v>146</v>
      </c>
      <c r="K40" s="1" t="s">
        <v>147</v>
      </c>
      <c r="L40" s="5">
        <v>1125</v>
      </c>
      <c r="M40" s="5">
        <v>8788872107</v>
      </c>
      <c r="N40" s="1" t="s">
        <v>42</v>
      </c>
      <c r="O40" s="1">
        <v>13</v>
      </c>
      <c r="P40" s="1" t="s">
        <v>20</v>
      </c>
    </row>
    <row r="41" spans="1:16">
      <c r="A41" s="5">
        <v>6812398925</v>
      </c>
      <c r="B41" s="5">
        <v>1546</v>
      </c>
      <c r="C41" s="5">
        <v>6980</v>
      </c>
      <c r="D41" s="1" t="s">
        <v>151</v>
      </c>
      <c r="E41" s="1" t="s">
        <v>108</v>
      </c>
      <c r="F41" s="1">
        <v>850</v>
      </c>
      <c r="G41" s="1">
        <v>220</v>
      </c>
      <c r="H41" s="1">
        <v>0</v>
      </c>
      <c r="I41" s="1">
        <v>2300</v>
      </c>
      <c r="J41" s="1" t="s">
        <v>109</v>
      </c>
      <c r="K41" s="1" t="s">
        <v>152</v>
      </c>
      <c r="L41" s="5">
        <v>1115</v>
      </c>
      <c r="M41" s="5">
        <v>9657724396</v>
      </c>
      <c r="N41" s="1" t="s">
        <v>19</v>
      </c>
      <c r="O41" s="1">
        <v>26</v>
      </c>
      <c r="P41" s="1" t="s">
        <v>20</v>
      </c>
    </row>
    <row r="42" spans="1:16">
      <c r="A42" s="5">
        <v>6812398929</v>
      </c>
      <c r="B42" s="5">
        <v>1601</v>
      </c>
      <c r="C42" s="5">
        <v>6980</v>
      </c>
      <c r="D42" s="1" t="s">
        <v>153</v>
      </c>
      <c r="E42" s="1" t="s">
        <v>154</v>
      </c>
      <c r="F42" s="1">
        <v>850</v>
      </c>
      <c r="G42" s="1">
        <v>110</v>
      </c>
      <c r="H42" s="1">
        <v>0</v>
      </c>
      <c r="I42" s="1">
        <v>2500</v>
      </c>
      <c r="J42" s="1" t="s">
        <v>51</v>
      </c>
      <c r="K42" s="1" t="s">
        <v>155</v>
      </c>
      <c r="L42" s="5">
        <v>1125</v>
      </c>
      <c r="M42" s="1" t="s">
        <v>156</v>
      </c>
      <c r="N42" s="1" t="s">
        <v>19</v>
      </c>
      <c r="O42" s="1">
        <v>26</v>
      </c>
      <c r="P42" s="1" t="s">
        <v>20</v>
      </c>
    </row>
    <row r="43" spans="1:16" s="6" customFormat="1" ht="15.75">
      <c r="F43" s="7">
        <f>SUM(F3:F42)</f>
        <v>30180</v>
      </c>
      <c r="G43" s="8">
        <f>SUM(G3:G42)</f>
        <v>2115</v>
      </c>
      <c r="H43" s="9">
        <f>SUM(H3:H42)</f>
        <v>4115</v>
      </c>
      <c r="I43" s="7">
        <f>SUM(I3:I42)</f>
        <v>82060</v>
      </c>
      <c r="O43" s="7">
        <f>SUM(O3:O42)</f>
        <v>927.90000000000009</v>
      </c>
    </row>
    <row r="44" spans="1:16">
      <c r="I44" s="10">
        <v>2730</v>
      </c>
      <c r="J44" s="11" t="s">
        <v>161</v>
      </c>
    </row>
    <row r="45" spans="1:16" ht="15.75">
      <c r="H45" s="12" t="s">
        <v>164</v>
      </c>
      <c r="I45" s="12">
        <f>82060-2730</f>
        <v>79330</v>
      </c>
      <c r="J45" s="13"/>
    </row>
    <row r="46" spans="1:16">
      <c r="I46" s="14">
        <v>30180</v>
      </c>
      <c r="J46" s="15" t="s">
        <v>162</v>
      </c>
    </row>
    <row r="47" spans="1:16" ht="15.75">
      <c r="H47" s="12" t="s">
        <v>164</v>
      </c>
      <c r="I47" s="12">
        <f>SUM(I45:I46)</f>
        <v>109510</v>
      </c>
      <c r="J47" s="13"/>
    </row>
    <row r="48" spans="1:16">
      <c r="I48" s="14">
        <v>5500</v>
      </c>
      <c r="J48" s="11" t="s">
        <v>163</v>
      </c>
    </row>
    <row r="49" spans="3:9" ht="17.25">
      <c r="H49" s="12" t="s">
        <v>164</v>
      </c>
      <c r="I49" s="16">
        <f>SUM(I47:I48)</f>
        <v>115010</v>
      </c>
    </row>
    <row r="51" spans="3:9">
      <c r="C51" s="17">
        <v>1</v>
      </c>
      <c r="D51" s="17" t="s">
        <v>165</v>
      </c>
      <c r="E51" s="17" t="s">
        <v>166</v>
      </c>
      <c r="F51" s="17" t="s">
        <v>167</v>
      </c>
      <c r="G51" s="17">
        <f>80*31</f>
        <v>2480</v>
      </c>
      <c r="H51" s="18" t="s">
        <v>170</v>
      </c>
    </row>
    <row r="52" spans="3:9">
      <c r="C52" s="17">
        <v>2</v>
      </c>
      <c r="D52" s="17" t="s">
        <v>165</v>
      </c>
      <c r="E52" s="17" t="s">
        <v>168</v>
      </c>
      <c r="F52" s="17" t="s">
        <v>167</v>
      </c>
      <c r="G52" s="17">
        <f>50*5</f>
        <v>250</v>
      </c>
      <c r="H52" s="18" t="s">
        <v>171</v>
      </c>
    </row>
    <row r="53" spans="3:9" ht="15.75">
      <c r="G53" s="7">
        <f>SUM(G51:G52)</f>
        <v>2730</v>
      </c>
    </row>
    <row r="56" spans="3:9">
      <c r="C56" s="18">
        <v>1</v>
      </c>
      <c r="D56" s="18" t="s">
        <v>18</v>
      </c>
      <c r="E56" s="18" t="s">
        <v>169</v>
      </c>
      <c r="F56" s="18" t="s">
        <v>167</v>
      </c>
      <c r="G56" s="18">
        <v>250</v>
      </c>
    </row>
    <row r="57" spans="3:9">
      <c r="C57" s="18">
        <v>2</v>
      </c>
      <c r="D57" s="18" t="s">
        <v>172</v>
      </c>
      <c r="E57" s="18" t="s">
        <v>178</v>
      </c>
      <c r="F57" s="18" t="s">
        <v>173</v>
      </c>
      <c r="G57" s="18">
        <v>1150</v>
      </c>
    </row>
    <row r="58" spans="3:9">
      <c r="C58" s="18">
        <v>3</v>
      </c>
      <c r="D58" s="18" t="s">
        <v>174</v>
      </c>
      <c r="E58" s="18" t="s">
        <v>175</v>
      </c>
      <c r="F58" s="18" t="s">
        <v>173</v>
      </c>
      <c r="G58" s="18">
        <v>500</v>
      </c>
    </row>
    <row r="59" spans="3:9">
      <c r="C59" s="18">
        <v>4</v>
      </c>
      <c r="D59" s="18" t="s">
        <v>177</v>
      </c>
      <c r="E59" s="18" t="s">
        <v>175</v>
      </c>
      <c r="F59" s="18" t="s">
        <v>176</v>
      </c>
      <c r="G59" s="18">
        <v>150</v>
      </c>
    </row>
    <row r="60" spans="3:9">
      <c r="C60" s="18">
        <v>5</v>
      </c>
      <c r="D60" s="18" t="s">
        <v>179</v>
      </c>
      <c r="E60" s="18" t="s">
        <v>175</v>
      </c>
      <c r="F60" s="18" t="s">
        <v>176</v>
      </c>
      <c r="G60" s="18">
        <v>150</v>
      </c>
    </row>
    <row r="61" spans="3:9">
      <c r="C61" s="18">
        <v>6</v>
      </c>
      <c r="D61" s="18" t="s">
        <v>121</v>
      </c>
      <c r="E61" s="18" t="s">
        <v>175</v>
      </c>
      <c r="F61" s="18" t="s">
        <v>176</v>
      </c>
      <c r="G61" s="18">
        <v>150</v>
      </c>
    </row>
    <row r="62" spans="3:9">
      <c r="C62" s="18">
        <v>7</v>
      </c>
      <c r="D62" s="18" t="s">
        <v>180</v>
      </c>
      <c r="E62" s="18" t="s">
        <v>175</v>
      </c>
      <c r="F62" s="18" t="s">
        <v>176</v>
      </c>
      <c r="G62" s="18">
        <v>150</v>
      </c>
    </row>
    <row r="63" spans="3:9">
      <c r="C63" s="18">
        <v>8</v>
      </c>
      <c r="D63" s="18" t="s">
        <v>147</v>
      </c>
      <c r="E63" s="18" t="s">
        <v>182</v>
      </c>
      <c r="F63" s="18" t="s">
        <v>176</v>
      </c>
      <c r="G63" s="18">
        <v>1500</v>
      </c>
    </row>
    <row r="64" spans="3:9">
      <c r="C64" s="18">
        <v>9</v>
      </c>
      <c r="D64" s="18" t="s">
        <v>181</v>
      </c>
      <c r="E64" s="18" t="s">
        <v>182</v>
      </c>
      <c r="F64" s="18" t="s">
        <v>176</v>
      </c>
      <c r="G64" s="18">
        <v>1500</v>
      </c>
    </row>
    <row r="65" spans="7:7" ht="15.75">
      <c r="G65" s="7">
        <f>SUM(G56:G64)</f>
        <v>5500</v>
      </c>
    </row>
  </sheetData>
  <mergeCells count="1">
    <mergeCell ref="A1:Q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2024-02-25T21:30:46Z</dcterms:created>
  <dcterms:modified xsi:type="dcterms:W3CDTF">2024-05-28T10:17:27Z</dcterms:modified>
</cp:coreProperties>
</file>
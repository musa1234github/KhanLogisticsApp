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-DISPATCH-MAR-24\"/>
    </mc:Choice>
  </mc:AlternateContent>
  <xr:revisionPtr revIDLastSave="0" documentId="8_{32CC7567-A0CE-4152-BBCB-126C6BCFDDE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" l="1"/>
  <c r="I52" i="1"/>
  <c r="I54" i="1"/>
  <c r="F48" i="1"/>
  <c r="G41" i="1"/>
  <c r="G48" i="1"/>
  <c r="H48" i="1"/>
  <c r="I48" i="1"/>
  <c r="G64" i="1"/>
  <c r="G57" i="1"/>
  <c r="G58" i="1"/>
  <c r="G59" i="1"/>
  <c r="O48" i="1"/>
</calcChain>
</file>

<file path=xl/sharedStrings.xml><?xml version="1.0" encoding="utf-8"?>
<sst xmlns="http://schemas.openxmlformats.org/spreadsheetml/2006/main" count="334" uniqueCount="184">
  <si>
    <t>Transporter Portal</t>
  </si>
  <si>
    <t>DI No</t>
  </si>
  <si>
    <t>LR No</t>
  </si>
  <si>
    <t>Plant</t>
  </si>
  <si>
    <t>PGI Date</t>
  </si>
  <si>
    <t>Sold To Party</t>
  </si>
  <si>
    <t>Destination</t>
  </si>
  <si>
    <t>Truck No</t>
  </si>
  <si>
    <t>Special Process Indicator</t>
  </si>
  <si>
    <t>Contact No</t>
  </si>
  <si>
    <t>Grade-Pack</t>
  </si>
  <si>
    <t>Quantity</t>
  </si>
  <si>
    <t>EPOD Status</t>
  </si>
  <si>
    <t>EPOD Date</t>
  </si>
  <si>
    <t>2024-03-21 05:03:45</t>
  </si>
  <si>
    <t>Latur - R K Godown</t>
  </si>
  <si>
    <t>Latur-R-K-Godown_6326-26T2</t>
  </si>
  <si>
    <t>TS01UC2487</t>
  </si>
  <si>
    <t>PPC-HP</t>
  </si>
  <si>
    <t>N</t>
  </si>
  <si>
    <t>2024-03-21 03:03:53</t>
  </si>
  <si>
    <t>TS01UC5793</t>
  </si>
  <si>
    <t>000434</t>
  </si>
  <si>
    <t>2024-03-21 10:03:37</t>
  </si>
  <si>
    <t>MAHESH AGENCIES.</t>
  </si>
  <si>
    <t>BASMAT (VASMAT)</t>
  </si>
  <si>
    <t>TS01UC0294</t>
  </si>
  <si>
    <t>00434</t>
  </si>
  <si>
    <t>2024-03-21 10:03:58</t>
  </si>
  <si>
    <t>PPC-LH</t>
  </si>
  <si>
    <t>2024-03-21 03:03:11</t>
  </si>
  <si>
    <t>ASMA TRADING CORPORATION</t>
  </si>
  <si>
    <t>DIGRAS (T)</t>
  </si>
  <si>
    <t>AP05TC7360</t>
  </si>
  <si>
    <t>0983436355</t>
  </si>
  <si>
    <t>0440</t>
  </si>
  <si>
    <t>2024-03-21 11:03:00</t>
  </si>
  <si>
    <t>SHRI NARAYAN TRADING COMPANY</t>
  </si>
  <si>
    <t>HIMAYAT NAGAR(NAD)</t>
  </si>
  <si>
    <t>TS01UC5615</t>
  </si>
  <si>
    <t>0963762001</t>
  </si>
  <si>
    <t>00440</t>
  </si>
  <si>
    <t>2024-03-21 11:03:20</t>
  </si>
  <si>
    <t>2024-03-21 09:03:16</t>
  </si>
  <si>
    <t>PUSAD (T)</t>
  </si>
  <si>
    <t>MH34BZ1172</t>
  </si>
  <si>
    <t>2024-03-21 04:03:24</t>
  </si>
  <si>
    <t>MH34BZ1066</t>
  </si>
  <si>
    <t>2024-03-21 02:03:54</t>
  </si>
  <si>
    <t>SHREERAM TRADERS AND HARDWARE</t>
  </si>
  <si>
    <t>MAHAGAON (T)</t>
  </si>
  <si>
    <t>AP05TC7366</t>
  </si>
  <si>
    <t>0869898890</t>
  </si>
  <si>
    <t>2024-03-21 02:03:39</t>
  </si>
  <si>
    <t>RENUKA HARDWARE</t>
  </si>
  <si>
    <t>AP05TD1025</t>
  </si>
  <si>
    <t>0951855925</t>
  </si>
  <si>
    <t>2024-03-21 15:03:45</t>
  </si>
  <si>
    <t>SHRI TULSI BUILDCON RMC</t>
  </si>
  <si>
    <t>AURANGABAD [AR]</t>
  </si>
  <si>
    <t>TS01UA9322</t>
  </si>
  <si>
    <t>O53-LC</t>
  </si>
  <si>
    <t>2024-03-21 15:03:50</t>
  </si>
  <si>
    <t>MH34BG3819</t>
  </si>
  <si>
    <t>2024-03-21 16:03:50</t>
  </si>
  <si>
    <t>TS01UA7711</t>
  </si>
  <si>
    <t>2024-03-21 17:03:26</t>
  </si>
  <si>
    <t>FUJI INFRASTRUCTURE TECHNOLOGIES PR</t>
  </si>
  <si>
    <t>MH34BZ1496</t>
  </si>
  <si>
    <t>2024-03-21 03:03:32</t>
  </si>
  <si>
    <t>ALI TRADERS</t>
  </si>
  <si>
    <t>SHEMBALPIMPRI (T)</t>
  </si>
  <si>
    <t>TS01UC2501</t>
  </si>
  <si>
    <t>0721811787</t>
  </si>
  <si>
    <t>2024-03-21 00:03:52</t>
  </si>
  <si>
    <t>TIRUPATI STEEL AND CEMENT DEPO</t>
  </si>
  <si>
    <t>AP05TT6569</t>
  </si>
  <si>
    <t>2024-03-21 07:03:22</t>
  </si>
  <si>
    <t>JIRWANKAR TRADERS UBS</t>
  </si>
  <si>
    <t>LONI (WASHIM)</t>
  </si>
  <si>
    <t>TS01UC0301</t>
  </si>
  <si>
    <t>2024-03-21 08:03:06</t>
  </si>
  <si>
    <t>AP16TD2898</t>
  </si>
  <si>
    <t>2024-03-21 10:03:01</t>
  </si>
  <si>
    <t>S  KOTTAWAR TIN AGENCIES</t>
  </si>
  <si>
    <t>PHOOLSAWANGI (T)</t>
  </si>
  <si>
    <t>AP27TT9477</t>
  </si>
  <si>
    <t>0901180799</t>
  </si>
  <si>
    <t>2024-03-21 12:03:48</t>
  </si>
  <si>
    <t>HAJI TRADERS</t>
  </si>
  <si>
    <t>MAHUR/MAHOR(NAD)</t>
  </si>
  <si>
    <t>MH26BE9075</t>
  </si>
  <si>
    <t>0914694794</t>
  </si>
  <si>
    <t>2024-03-21 11:03:26</t>
  </si>
  <si>
    <t>CHATARI</t>
  </si>
  <si>
    <t>TS01UC0343</t>
  </si>
  <si>
    <t>2024-03-21 11:03:52</t>
  </si>
  <si>
    <t>AP24TB1277</t>
  </si>
  <si>
    <t>0992197942</t>
  </si>
  <si>
    <t>2024-03-21 12:03:42</t>
  </si>
  <si>
    <t>TS01UC3096</t>
  </si>
  <si>
    <t>0955236373</t>
  </si>
  <si>
    <t>0489</t>
  </si>
  <si>
    <t>2024-03-21 12:03:02</t>
  </si>
  <si>
    <t>SUPER AGENCIES</t>
  </si>
  <si>
    <t>UMRI</t>
  </si>
  <si>
    <t>MH26CH0761</t>
  </si>
  <si>
    <t>00489</t>
  </si>
  <si>
    <t>2024-03-21 12:03:28</t>
  </si>
  <si>
    <t>2024-03-21 12:03:15</t>
  </si>
  <si>
    <t>UTCL LATUR</t>
  </si>
  <si>
    <t>LATUR_6326-2601</t>
  </si>
  <si>
    <t>MH34BZ0936</t>
  </si>
  <si>
    <t>2024-03-21 15:03:12</t>
  </si>
  <si>
    <t>MH34BZ1032</t>
  </si>
  <si>
    <t>2024-03-21 16:03:48</t>
  </si>
  <si>
    <t>MH34BZ1034</t>
  </si>
  <si>
    <t>2024-03-21 18:03:33</t>
  </si>
  <si>
    <t>ANIL TRADERS</t>
  </si>
  <si>
    <t>AP35W2949</t>
  </si>
  <si>
    <t>2024-03-21 17:03:42</t>
  </si>
  <si>
    <t>JIRWANKAR TRADERS</t>
  </si>
  <si>
    <t>UKALIPEN</t>
  </si>
  <si>
    <t>MH34BZ1174</t>
  </si>
  <si>
    <t>2024-03-21 17:03:39</t>
  </si>
  <si>
    <t>MH34BZ1173</t>
  </si>
  <si>
    <t>00499</t>
  </si>
  <si>
    <t>2024-03-21 19:03:28</t>
  </si>
  <si>
    <t>MULAWA</t>
  </si>
  <si>
    <t>TS01UC1069</t>
  </si>
  <si>
    <t>0976307917</t>
  </si>
  <si>
    <t>000499</t>
  </si>
  <si>
    <t>2024-03-21 19:03:48</t>
  </si>
  <si>
    <t>2024-03-21 18:03:08</t>
  </si>
  <si>
    <t>MH34BZ0889</t>
  </si>
  <si>
    <t>2024-03-21 19:03:10</t>
  </si>
  <si>
    <t>JEWALI</t>
  </si>
  <si>
    <t>TS01UC0599</t>
  </si>
  <si>
    <t>0992225181</t>
  </si>
  <si>
    <t>2024-03-21 20:03:57</t>
  </si>
  <si>
    <t>AP35W3669</t>
  </si>
  <si>
    <t>2024-03-21 19:03:02</t>
  </si>
  <si>
    <t>MH34AB8969</t>
  </si>
  <si>
    <t>2024-03-21 19:03:24</t>
  </si>
  <si>
    <t>COURAGE INFRA PVT LTD</t>
  </si>
  <si>
    <t>BHOKARDAN (JLN)</t>
  </si>
  <si>
    <t>MH34BG1970</t>
  </si>
  <si>
    <t>O43-LC</t>
  </si>
  <si>
    <t>2024-03-21 21:03:11</t>
  </si>
  <si>
    <t>MH34BG3821</t>
  </si>
  <si>
    <t>2024-03-21 20:03:25</t>
  </si>
  <si>
    <t>S.M.CHADAVAR</t>
  </si>
  <si>
    <t>KINWAT</t>
  </si>
  <si>
    <t>TS01UC1150</t>
  </si>
  <si>
    <t>2024-03-21 19:03:31</t>
  </si>
  <si>
    <t>MH34BZ0937</t>
  </si>
  <si>
    <t>2024-03-21 19:03:23</t>
  </si>
  <si>
    <t>TS01UA6471</t>
  </si>
  <si>
    <t>0830870959</t>
  </si>
  <si>
    <t>0514</t>
  </si>
  <si>
    <t>2024-03-21 19:03:57</t>
  </si>
  <si>
    <t>MH34BZ1237</t>
  </si>
  <si>
    <t>00514</t>
  </si>
  <si>
    <t>2024-03-21 19:03:25</t>
  </si>
  <si>
    <t>PHALKA</t>
  </si>
  <si>
    <t xml:space="preserve">HSD GAD </t>
  </si>
  <si>
    <t>HSD ADB</t>
  </si>
  <si>
    <t>ADVANCE</t>
  </si>
  <si>
    <t>TARPOULIN</t>
  </si>
  <si>
    <t xml:space="preserve">PHALKA </t>
  </si>
  <si>
    <t xml:space="preserve">KHARCHA </t>
  </si>
  <si>
    <t>TOTAL</t>
  </si>
  <si>
    <t xml:space="preserve">TARPOULIN </t>
  </si>
  <si>
    <t xml:space="preserve">OWN / ATTACH TRUCK CASH JAMA </t>
  </si>
  <si>
    <t>SHAKIR</t>
  </si>
  <si>
    <t xml:space="preserve">OWN / ATTACH BULK CASH JAMA </t>
  </si>
  <si>
    <t>06*50</t>
  </si>
  <si>
    <t>34*80</t>
  </si>
  <si>
    <t>AP01X7109</t>
  </si>
  <si>
    <t xml:space="preserve">NAAM PE TYRE PUNCHER </t>
  </si>
  <si>
    <t>SALEEM</t>
  </si>
  <si>
    <t>TS01UC5770</t>
  </si>
  <si>
    <t>BHATTA</t>
  </si>
  <si>
    <t>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</si>
</sst>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2"/>
      <name val="Calibri"/>
      <family val="2"/>
    </font>
    <font>
      <b/>
      <sz val="1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topLeftCell="G1" workbookViewId="0">
      <selection activeCell="J11" sqref="J11"/>
    </sheetView>
  </sheetViews>
  <sheetFormatPr defaultColWidth="9.140625" defaultRowHeight="15"/>
  <cols>
    <col min="1" max="1" width="11" style="1" bestFit="1" customWidth="1"/>
    <col min="2" max="2" width="7" style="1" bestFit="1" customWidth="1"/>
    <col min="3" max="3" width="5.5703125" style="1" bestFit="1" customWidth="1"/>
    <col min="4" max="4" width="18.28515625" style="1" bestFit="1" customWidth="1"/>
    <col min="5" max="5" width="38" style="1" bestFit="1" customWidth="1"/>
    <col min="6" max="6" width="8.7109375" style="1" bestFit="1" customWidth="1"/>
    <col min="7" max="7" width="9.42578125" style="1" bestFit="1" customWidth="1"/>
    <col min="8" max="8" width="8.7109375" style="1" bestFit="1" customWidth="1"/>
    <col min="9" max="9" width="9.7109375" style="1" bestFit="1" customWidth="1"/>
    <col min="10" max="10" width="27.5703125" style="1" bestFit="1" customWidth="1"/>
    <col min="11" max="11" width="12.42578125" style="1" bestFit="1" customWidth="1"/>
    <col min="12" max="12" width="10.7109375" style="1" customWidth="1"/>
    <col min="13" max="13" width="11" style="1" bestFit="1" customWidth="1"/>
    <col min="14" max="14" width="11.140625" style="1" bestFit="1" customWidth="1"/>
    <col min="15" max="15" width="8.7109375" style="1" bestFit="1" customWidth="1"/>
    <col min="16" max="16" width="11.7109375" style="1" bestFit="1" customWidth="1"/>
    <col min="17" max="17" width="10.28515625" style="1" bestFit="1" customWidth="1"/>
    <col min="18" max="16384" width="9.140625" style="1"/>
  </cols>
  <sheetData>
    <row r="1" spans="1:1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s="3" customForma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164</v>
      </c>
      <c r="G2" s="2" t="s">
        <v>165</v>
      </c>
      <c r="H2" s="2" t="s">
        <v>166</v>
      </c>
      <c r="I2" s="2" t="s">
        <v>167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</row>
    <row r="3" spans="1:17">
      <c r="A3" s="4">
        <v>6812407086</v>
      </c>
      <c r="B3" s="4">
        <v>430</v>
      </c>
      <c r="C3" s="4">
        <v>6980</v>
      </c>
      <c r="D3" s="1" t="s">
        <v>14</v>
      </c>
      <c r="E3" s="1" t="s">
        <v>15</v>
      </c>
      <c r="F3" s="1">
        <v>850</v>
      </c>
      <c r="G3" s="1">
        <v>225</v>
      </c>
      <c r="H3" s="1">
        <v>0</v>
      </c>
      <c r="I3" s="1">
        <v>2300</v>
      </c>
      <c r="J3" s="1" t="s">
        <v>16</v>
      </c>
      <c r="K3" s="1" t="s">
        <v>17</v>
      </c>
      <c r="L3" s="4">
        <v>1115</v>
      </c>
      <c r="N3" s="1" t="s">
        <v>18</v>
      </c>
      <c r="O3" s="1">
        <v>26</v>
      </c>
      <c r="P3" s="1" t="s">
        <v>19</v>
      </c>
    </row>
    <row r="4" spans="1:17">
      <c r="A4" s="4">
        <v>6812407087</v>
      </c>
      <c r="B4" s="4">
        <v>431</v>
      </c>
      <c r="C4" s="4">
        <v>6980</v>
      </c>
      <c r="D4" s="1" t="s">
        <v>20</v>
      </c>
      <c r="E4" s="1" t="s">
        <v>15</v>
      </c>
      <c r="F4" s="1">
        <v>850</v>
      </c>
      <c r="G4" s="1">
        <v>225</v>
      </c>
      <c r="H4" s="1">
        <v>0</v>
      </c>
      <c r="I4" s="1">
        <v>2300</v>
      </c>
      <c r="J4" s="1" t="s">
        <v>16</v>
      </c>
      <c r="K4" s="1" t="s">
        <v>21</v>
      </c>
      <c r="L4" s="4">
        <v>1115</v>
      </c>
      <c r="N4" s="1" t="s">
        <v>18</v>
      </c>
      <c r="O4" s="1">
        <v>26</v>
      </c>
      <c r="P4" s="1" t="s">
        <v>19</v>
      </c>
    </row>
    <row r="5" spans="1:17">
      <c r="A5" s="4">
        <v>6812407095</v>
      </c>
      <c r="B5" s="1" t="s">
        <v>22</v>
      </c>
      <c r="C5" s="4">
        <v>6980</v>
      </c>
      <c r="D5" s="1" t="s">
        <v>23</v>
      </c>
      <c r="E5" s="1" t="s">
        <v>24</v>
      </c>
      <c r="F5" s="1">
        <v>1700</v>
      </c>
      <c r="G5" s="1">
        <v>155</v>
      </c>
      <c r="H5" s="1">
        <v>0</v>
      </c>
      <c r="I5" s="1">
        <v>1240</v>
      </c>
      <c r="J5" s="1" t="s">
        <v>25</v>
      </c>
      <c r="K5" s="1" t="s">
        <v>26</v>
      </c>
      <c r="L5" s="4">
        <v>1125</v>
      </c>
      <c r="M5" s="4">
        <v>8668705161</v>
      </c>
      <c r="N5" s="1" t="s">
        <v>18</v>
      </c>
      <c r="O5" s="1">
        <v>16</v>
      </c>
      <c r="P5" s="1" t="s">
        <v>19</v>
      </c>
    </row>
    <row r="6" spans="1:17">
      <c r="A6" s="4">
        <v>6812407096</v>
      </c>
      <c r="B6" s="1" t="s">
        <v>27</v>
      </c>
      <c r="C6" s="4">
        <v>6980</v>
      </c>
      <c r="D6" s="1" t="s">
        <v>28</v>
      </c>
      <c r="E6" s="1" t="s">
        <v>24</v>
      </c>
      <c r="F6" s="1">
        <v>0</v>
      </c>
      <c r="G6" s="1">
        <v>0</v>
      </c>
      <c r="H6" s="1">
        <v>0</v>
      </c>
      <c r="I6" s="1">
        <v>0</v>
      </c>
      <c r="J6" s="1" t="s">
        <v>25</v>
      </c>
      <c r="K6" s="1" t="s">
        <v>26</v>
      </c>
      <c r="L6" s="4">
        <v>1125</v>
      </c>
      <c r="M6" s="4">
        <v>8668705161</v>
      </c>
      <c r="N6" s="1" t="s">
        <v>29</v>
      </c>
      <c r="O6" s="1">
        <v>10</v>
      </c>
      <c r="P6" s="1" t="s">
        <v>19</v>
      </c>
    </row>
    <row r="7" spans="1:17">
      <c r="A7" s="4">
        <v>6812407123</v>
      </c>
      <c r="B7" s="4">
        <v>438</v>
      </c>
      <c r="C7" s="4">
        <v>6980</v>
      </c>
      <c r="D7" s="1" t="s">
        <v>30</v>
      </c>
      <c r="E7" s="1" t="s">
        <v>31</v>
      </c>
      <c r="F7" s="1">
        <v>850</v>
      </c>
      <c r="G7" s="1">
        <v>135</v>
      </c>
      <c r="H7" s="1">
        <v>0</v>
      </c>
      <c r="I7" s="1">
        <v>2500</v>
      </c>
      <c r="J7" s="1" t="s">
        <v>32</v>
      </c>
      <c r="K7" s="1" t="s">
        <v>33</v>
      </c>
      <c r="L7" s="4">
        <v>1125</v>
      </c>
      <c r="M7" s="1" t="s">
        <v>34</v>
      </c>
      <c r="N7" s="1" t="s">
        <v>18</v>
      </c>
      <c r="O7" s="1">
        <v>26</v>
      </c>
      <c r="P7" s="1" t="s">
        <v>19</v>
      </c>
    </row>
    <row r="8" spans="1:17">
      <c r="A8" s="4">
        <v>6812407149</v>
      </c>
      <c r="B8" s="1" t="s">
        <v>35</v>
      </c>
      <c r="C8" s="4">
        <v>6980</v>
      </c>
      <c r="D8" s="1" t="s">
        <v>36</v>
      </c>
      <c r="E8" s="1" t="s">
        <v>37</v>
      </c>
      <c r="F8" s="1">
        <v>0</v>
      </c>
      <c r="G8" s="1">
        <v>110</v>
      </c>
      <c r="H8" s="1">
        <v>0</v>
      </c>
      <c r="I8" s="1">
        <v>1240</v>
      </c>
      <c r="J8" s="1" t="s">
        <v>38</v>
      </c>
      <c r="K8" s="1" t="s">
        <v>39</v>
      </c>
      <c r="L8" s="4">
        <v>1125</v>
      </c>
      <c r="M8" s="1" t="s">
        <v>40</v>
      </c>
      <c r="N8" s="1" t="s">
        <v>29</v>
      </c>
      <c r="O8" s="1">
        <v>10</v>
      </c>
      <c r="P8" s="1" t="s">
        <v>19</v>
      </c>
    </row>
    <row r="9" spans="1:17">
      <c r="A9" s="4">
        <v>6812407150</v>
      </c>
      <c r="B9" s="1" t="s">
        <v>41</v>
      </c>
      <c r="C9" s="4">
        <v>6980</v>
      </c>
      <c r="D9" s="1" t="s">
        <v>42</v>
      </c>
      <c r="E9" s="1" t="s">
        <v>37</v>
      </c>
      <c r="F9" s="1">
        <v>0</v>
      </c>
      <c r="G9" s="1">
        <v>0</v>
      </c>
      <c r="H9" s="1">
        <v>0</v>
      </c>
      <c r="I9" s="1">
        <v>0</v>
      </c>
      <c r="J9" s="1" t="s">
        <v>38</v>
      </c>
      <c r="K9" s="1" t="s">
        <v>39</v>
      </c>
      <c r="L9" s="4">
        <v>1125</v>
      </c>
      <c r="M9" s="1" t="s">
        <v>40</v>
      </c>
      <c r="N9" s="1" t="s">
        <v>18</v>
      </c>
      <c r="O9" s="1">
        <v>16</v>
      </c>
      <c r="P9" s="1" t="s">
        <v>19</v>
      </c>
    </row>
    <row r="10" spans="1:17">
      <c r="A10" s="4">
        <v>6812407158</v>
      </c>
      <c r="B10" s="4">
        <v>441</v>
      </c>
      <c r="C10" s="4">
        <v>6980</v>
      </c>
      <c r="D10" s="1" t="s">
        <v>43</v>
      </c>
      <c r="E10" s="1" t="s">
        <v>31</v>
      </c>
      <c r="F10" s="1">
        <v>850</v>
      </c>
      <c r="G10" s="1">
        <v>115</v>
      </c>
      <c r="H10" s="1">
        <v>0</v>
      </c>
      <c r="I10" s="1">
        <v>2500</v>
      </c>
      <c r="J10" s="1" t="s">
        <v>44</v>
      </c>
      <c r="K10" s="1" t="s">
        <v>45</v>
      </c>
      <c r="L10" s="4">
        <v>1125</v>
      </c>
      <c r="M10" s="4">
        <v>7887406333</v>
      </c>
      <c r="N10" s="1" t="s">
        <v>29</v>
      </c>
      <c r="O10" s="1">
        <v>26</v>
      </c>
      <c r="P10" s="1" t="s">
        <v>19</v>
      </c>
    </row>
    <row r="11" spans="1:17">
      <c r="A11" s="4">
        <v>6812407173</v>
      </c>
      <c r="B11" s="4">
        <v>444</v>
      </c>
      <c r="C11" s="4">
        <v>6980</v>
      </c>
      <c r="D11" s="1" t="s">
        <v>46</v>
      </c>
      <c r="E11" s="1" t="s">
        <v>15</v>
      </c>
      <c r="F11" s="1">
        <v>850</v>
      </c>
      <c r="G11" s="1">
        <v>225</v>
      </c>
      <c r="H11" s="1">
        <v>0</v>
      </c>
      <c r="I11" s="1">
        <v>2300</v>
      </c>
      <c r="J11" s="1" t="s">
        <v>16</v>
      </c>
      <c r="K11" s="1" t="s">
        <v>47</v>
      </c>
      <c r="L11" s="4">
        <v>1115</v>
      </c>
      <c r="N11" s="1" t="s">
        <v>18</v>
      </c>
      <c r="O11" s="1">
        <v>26</v>
      </c>
      <c r="P11" s="1" t="s">
        <v>19</v>
      </c>
    </row>
    <row r="12" spans="1:17">
      <c r="A12" s="4">
        <v>6812407187</v>
      </c>
      <c r="B12" s="4">
        <v>445</v>
      </c>
      <c r="C12" s="4">
        <v>6980</v>
      </c>
      <c r="D12" s="1" t="s">
        <v>48</v>
      </c>
      <c r="E12" s="1" t="s">
        <v>49</v>
      </c>
      <c r="F12" s="1">
        <v>1700</v>
      </c>
      <c r="G12" s="1">
        <v>110</v>
      </c>
      <c r="H12" s="1">
        <v>0</v>
      </c>
      <c r="I12" s="1">
        <v>2500</v>
      </c>
      <c r="J12" s="1" t="s">
        <v>50</v>
      </c>
      <c r="K12" s="1" t="s">
        <v>51</v>
      </c>
      <c r="L12" s="4">
        <v>1125</v>
      </c>
      <c r="M12" s="1" t="s">
        <v>52</v>
      </c>
      <c r="N12" s="1" t="s">
        <v>18</v>
      </c>
      <c r="O12" s="1">
        <v>26</v>
      </c>
      <c r="P12" s="1" t="s">
        <v>19</v>
      </c>
    </row>
    <row r="13" spans="1:17">
      <c r="A13" s="4">
        <v>6812407188</v>
      </c>
      <c r="B13" s="4">
        <v>446</v>
      </c>
      <c r="C13" s="4">
        <v>6980</v>
      </c>
      <c r="D13" s="1" t="s">
        <v>53</v>
      </c>
      <c r="E13" s="1" t="s">
        <v>54</v>
      </c>
      <c r="F13" s="1">
        <v>1700</v>
      </c>
      <c r="G13" s="1">
        <v>135</v>
      </c>
      <c r="H13" s="1">
        <v>0</v>
      </c>
      <c r="I13" s="1">
        <v>2500</v>
      </c>
      <c r="J13" s="1" t="s">
        <v>44</v>
      </c>
      <c r="K13" s="1" t="s">
        <v>55</v>
      </c>
      <c r="L13" s="4">
        <v>1125</v>
      </c>
      <c r="M13" s="1" t="s">
        <v>56</v>
      </c>
      <c r="N13" s="1" t="s">
        <v>18</v>
      </c>
      <c r="O13" s="1">
        <v>26</v>
      </c>
      <c r="P13" s="1" t="s">
        <v>19</v>
      </c>
    </row>
    <row r="14" spans="1:17">
      <c r="A14" s="4">
        <v>6812407204</v>
      </c>
      <c r="B14" s="4">
        <v>495</v>
      </c>
      <c r="C14" s="4">
        <v>6980</v>
      </c>
      <c r="D14" s="1" t="s">
        <v>57</v>
      </c>
      <c r="E14" s="1" t="s">
        <v>58</v>
      </c>
      <c r="F14" s="1">
        <v>2550</v>
      </c>
      <c r="G14" s="1">
        <v>270</v>
      </c>
      <c r="H14" s="1">
        <v>0</v>
      </c>
      <c r="I14" s="1">
        <v>3600</v>
      </c>
      <c r="J14" s="1" t="s">
        <v>59</v>
      </c>
      <c r="K14" s="1" t="s">
        <v>60</v>
      </c>
      <c r="L14" s="4">
        <v>5166</v>
      </c>
      <c r="M14" s="4">
        <v>9172220021</v>
      </c>
      <c r="N14" s="1" t="s">
        <v>61</v>
      </c>
      <c r="O14" s="1">
        <v>30.36</v>
      </c>
      <c r="P14" s="1" t="s">
        <v>19</v>
      </c>
    </row>
    <row r="15" spans="1:17">
      <c r="A15" s="4">
        <v>6812407206</v>
      </c>
      <c r="B15" s="4">
        <v>496</v>
      </c>
      <c r="C15" s="4">
        <v>6980</v>
      </c>
      <c r="D15" s="1" t="s">
        <v>62</v>
      </c>
      <c r="E15" s="1" t="s">
        <v>58</v>
      </c>
      <c r="F15" s="1">
        <v>2550</v>
      </c>
      <c r="G15" s="1">
        <v>270</v>
      </c>
      <c r="H15" s="1">
        <v>0</v>
      </c>
      <c r="I15" s="1">
        <v>3600</v>
      </c>
      <c r="J15" s="1" t="s">
        <v>59</v>
      </c>
      <c r="K15" s="1" t="s">
        <v>63</v>
      </c>
      <c r="L15" s="4">
        <v>5166</v>
      </c>
      <c r="M15" s="4">
        <v>9172220021</v>
      </c>
      <c r="N15" s="1" t="s">
        <v>61</v>
      </c>
      <c r="O15" s="1">
        <v>30.7</v>
      </c>
      <c r="P15" s="1" t="s">
        <v>19</v>
      </c>
    </row>
    <row r="16" spans="1:17">
      <c r="A16" s="4">
        <v>6812407208</v>
      </c>
      <c r="B16" s="4">
        <v>497</v>
      </c>
      <c r="C16" s="4">
        <v>6980</v>
      </c>
      <c r="D16" s="1" t="s">
        <v>64</v>
      </c>
      <c r="E16" s="1" t="s">
        <v>58</v>
      </c>
      <c r="F16" s="1">
        <v>2550</v>
      </c>
      <c r="G16" s="1">
        <v>280</v>
      </c>
      <c r="H16" s="1">
        <v>0</v>
      </c>
      <c r="I16" s="1">
        <v>3600</v>
      </c>
      <c r="J16" s="1" t="s">
        <v>59</v>
      </c>
      <c r="K16" s="1" t="s">
        <v>65</v>
      </c>
      <c r="L16" s="4">
        <v>5166</v>
      </c>
      <c r="M16" s="4">
        <v>9172220021</v>
      </c>
      <c r="N16" s="1" t="s">
        <v>61</v>
      </c>
      <c r="O16" s="1">
        <v>30.36</v>
      </c>
      <c r="P16" s="1" t="s">
        <v>19</v>
      </c>
    </row>
    <row r="17" spans="1:16">
      <c r="A17" s="4">
        <v>6812407209</v>
      </c>
      <c r="B17" s="4">
        <v>494</v>
      </c>
      <c r="C17" s="4">
        <v>6980</v>
      </c>
      <c r="D17" s="1" t="s">
        <v>66</v>
      </c>
      <c r="E17" s="1" t="s">
        <v>67</v>
      </c>
      <c r="F17" s="1">
        <v>2550</v>
      </c>
      <c r="G17" s="1">
        <v>280</v>
      </c>
      <c r="H17" s="1">
        <v>0</v>
      </c>
      <c r="I17" s="1">
        <v>3600</v>
      </c>
      <c r="J17" s="1" t="s">
        <v>59</v>
      </c>
      <c r="K17" s="1" t="s">
        <v>68</v>
      </c>
      <c r="L17" s="4">
        <v>5166</v>
      </c>
      <c r="M17" s="4">
        <v>9970733073</v>
      </c>
      <c r="N17" s="1" t="s">
        <v>61</v>
      </c>
      <c r="O17" s="1">
        <v>29.6</v>
      </c>
      <c r="P17" s="1" t="s">
        <v>19</v>
      </c>
    </row>
    <row r="18" spans="1:16">
      <c r="A18" s="4">
        <v>6812407225</v>
      </c>
      <c r="B18" s="4">
        <v>480</v>
      </c>
      <c r="C18" s="4">
        <v>6980</v>
      </c>
      <c r="D18" s="1" t="s">
        <v>69</v>
      </c>
      <c r="E18" s="1" t="s">
        <v>70</v>
      </c>
      <c r="F18" s="1">
        <v>1700</v>
      </c>
      <c r="G18" s="1">
        <v>115</v>
      </c>
      <c r="H18" s="1">
        <v>0</v>
      </c>
      <c r="I18" s="1">
        <v>2500</v>
      </c>
      <c r="J18" s="1" t="s">
        <v>71</v>
      </c>
      <c r="K18" s="1" t="s">
        <v>72</v>
      </c>
      <c r="L18" s="4">
        <v>1125</v>
      </c>
      <c r="M18" s="1" t="s">
        <v>73</v>
      </c>
      <c r="N18" s="1" t="s">
        <v>18</v>
      </c>
      <c r="O18" s="1">
        <v>26</v>
      </c>
      <c r="P18" s="1" t="s">
        <v>19</v>
      </c>
    </row>
    <row r="19" spans="1:16">
      <c r="A19" s="4">
        <v>6812407235</v>
      </c>
      <c r="B19" s="4">
        <v>432</v>
      </c>
      <c r="C19" s="4">
        <v>6980</v>
      </c>
      <c r="D19" s="1" t="s">
        <v>74</v>
      </c>
      <c r="E19" s="1" t="s">
        <v>75</v>
      </c>
      <c r="F19" s="1">
        <v>850</v>
      </c>
      <c r="G19" s="1">
        <v>95</v>
      </c>
      <c r="H19" s="1">
        <v>0</v>
      </c>
      <c r="I19" s="1">
        <v>2450</v>
      </c>
      <c r="J19" s="1" t="s">
        <v>50</v>
      </c>
      <c r="K19" s="1" t="s">
        <v>76</v>
      </c>
      <c r="L19" s="4">
        <v>1123</v>
      </c>
      <c r="M19" s="4">
        <v>9922031568</v>
      </c>
      <c r="N19" s="1" t="s">
        <v>18</v>
      </c>
      <c r="O19" s="1">
        <v>21</v>
      </c>
      <c r="P19" s="1" t="s">
        <v>19</v>
      </c>
    </row>
    <row r="20" spans="1:16">
      <c r="A20" s="4">
        <v>6812407247</v>
      </c>
      <c r="B20" s="4">
        <v>481</v>
      </c>
      <c r="C20" s="4">
        <v>6980</v>
      </c>
      <c r="D20" s="1" t="s">
        <v>77</v>
      </c>
      <c r="E20" s="1" t="s">
        <v>78</v>
      </c>
      <c r="F20" s="1">
        <v>1700</v>
      </c>
      <c r="G20" s="1">
        <v>160</v>
      </c>
      <c r="H20" s="1">
        <v>0</v>
      </c>
      <c r="I20" s="1">
        <v>3000</v>
      </c>
      <c r="J20" s="1" t="s">
        <v>79</v>
      </c>
      <c r="K20" s="1" t="s">
        <v>80</v>
      </c>
      <c r="L20" s="4">
        <v>1125</v>
      </c>
      <c r="M20" s="4">
        <v>9420185680</v>
      </c>
      <c r="N20" s="1" t="s">
        <v>18</v>
      </c>
      <c r="O20" s="1">
        <v>26</v>
      </c>
      <c r="P20" s="1" t="s">
        <v>19</v>
      </c>
    </row>
    <row r="21" spans="1:16">
      <c r="A21" s="4">
        <v>6812407248</v>
      </c>
      <c r="B21" s="4">
        <v>482</v>
      </c>
      <c r="C21" s="4">
        <v>6980</v>
      </c>
      <c r="D21" s="1" t="s">
        <v>81</v>
      </c>
      <c r="E21" s="1" t="s">
        <v>70</v>
      </c>
      <c r="F21" s="1">
        <v>1700</v>
      </c>
      <c r="G21" s="1">
        <v>120</v>
      </c>
      <c r="H21" s="1">
        <v>0</v>
      </c>
      <c r="I21" s="1">
        <v>2500</v>
      </c>
      <c r="J21" s="1" t="s">
        <v>44</v>
      </c>
      <c r="K21" s="1" t="s">
        <v>82</v>
      </c>
      <c r="L21" s="4">
        <v>1125</v>
      </c>
      <c r="M21" s="4">
        <v>9673121195</v>
      </c>
      <c r="N21" s="1" t="s">
        <v>18</v>
      </c>
      <c r="O21" s="1">
        <v>26</v>
      </c>
      <c r="P21" s="1" t="s">
        <v>19</v>
      </c>
    </row>
    <row r="22" spans="1:16">
      <c r="A22" s="4">
        <v>6812407249</v>
      </c>
      <c r="B22" s="4">
        <v>483</v>
      </c>
      <c r="C22" s="4">
        <v>6980</v>
      </c>
      <c r="D22" s="1" t="s">
        <v>83</v>
      </c>
      <c r="E22" s="1" t="s">
        <v>84</v>
      </c>
      <c r="F22" s="1">
        <v>850</v>
      </c>
      <c r="G22" s="1">
        <v>120</v>
      </c>
      <c r="H22" s="1">
        <v>0</v>
      </c>
      <c r="I22" s="1">
        <v>2500</v>
      </c>
      <c r="J22" s="1" t="s">
        <v>85</v>
      </c>
      <c r="K22" s="1" t="s">
        <v>86</v>
      </c>
      <c r="L22" s="4">
        <v>1125</v>
      </c>
      <c r="M22" s="1" t="s">
        <v>87</v>
      </c>
      <c r="N22" s="1" t="s">
        <v>18</v>
      </c>
      <c r="O22" s="1">
        <v>26</v>
      </c>
      <c r="P22" s="1" t="s">
        <v>19</v>
      </c>
    </row>
    <row r="23" spans="1:16">
      <c r="A23" s="4">
        <v>6812407282</v>
      </c>
      <c r="B23" s="4">
        <v>485</v>
      </c>
      <c r="C23" s="4">
        <v>6980</v>
      </c>
      <c r="D23" s="1" t="s">
        <v>88</v>
      </c>
      <c r="E23" s="1" t="s">
        <v>89</v>
      </c>
      <c r="F23" s="1">
        <v>0</v>
      </c>
      <c r="G23" s="1">
        <v>0</v>
      </c>
      <c r="H23" s="1">
        <v>0</v>
      </c>
      <c r="I23" s="1">
        <v>0</v>
      </c>
      <c r="J23" s="1" t="s">
        <v>90</v>
      </c>
      <c r="K23" s="1" t="s">
        <v>91</v>
      </c>
      <c r="L23" s="4">
        <v>1127</v>
      </c>
      <c r="M23" s="1" t="s">
        <v>92</v>
      </c>
      <c r="N23" s="1" t="s">
        <v>18</v>
      </c>
      <c r="O23" s="1">
        <v>32</v>
      </c>
      <c r="P23" s="1" t="s">
        <v>19</v>
      </c>
    </row>
    <row r="24" spans="1:16">
      <c r="A24" s="4">
        <v>6812407285</v>
      </c>
      <c r="B24" s="4">
        <v>486</v>
      </c>
      <c r="C24" s="4">
        <v>6980</v>
      </c>
      <c r="D24" s="1" t="s">
        <v>93</v>
      </c>
      <c r="E24" s="1" t="s">
        <v>70</v>
      </c>
      <c r="F24" s="1">
        <v>0</v>
      </c>
      <c r="G24" s="1">
        <v>135</v>
      </c>
      <c r="H24" s="1">
        <v>0</v>
      </c>
      <c r="I24" s="1">
        <v>2500</v>
      </c>
      <c r="J24" s="1" t="s">
        <v>94</v>
      </c>
      <c r="K24" s="1" t="s">
        <v>95</v>
      </c>
      <c r="L24" s="4">
        <v>1125</v>
      </c>
      <c r="M24" s="4">
        <v>9370374531</v>
      </c>
      <c r="N24" s="1" t="s">
        <v>18</v>
      </c>
      <c r="O24" s="1">
        <v>26</v>
      </c>
      <c r="P24" s="1" t="s">
        <v>19</v>
      </c>
    </row>
    <row r="25" spans="1:16">
      <c r="A25" s="4">
        <v>6812407286</v>
      </c>
      <c r="B25" s="4">
        <v>487</v>
      </c>
      <c r="C25" s="4">
        <v>6980</v>
      </c>
      <c r="D25" s="1" t="s">
        <v>96</v>
      </c>
      <c r="E25" s="1" t="s">
        <v>70</v>
      </c>
      <c r="F25" s="1">
        <v>850</v>
      </c>
      <c r="G25" s="1">
        <v>130</v>
      </c>
      <c r="H25" s="1">
        <v>0</v>
      </c>
      <c r="I25" s="1">
        <v>2500</v>
      </c>
      <c r="J25" s="1" t="s">
        <v>44</v>
      </c>
      <c r="K25" s="1" t="s">
        <v>97</v>
      </c>
      <c r="L25" s="4">
        <v>1125</v>
      </c>
      <c r="M25" s="1" t="s">
        <v>98</v>
      </c>
      <c r="N25" s="1" t="s">
        <v>18</v>
      </c>
      <c r="O25" s="1">
        <v>26</v>
      </c>
      <c r="P25" s="1" t="s">
        <v>19</v>
      </c>
    </row>
    <row r="26" spans="1:16">
      <c r="A26" s="4">
        <v>6812407288</v>
      </c>
      <c r="B26" s="4">
        <v>488</v>
      </c>
      <c r="C26" s="4">
        <v>6980</v>
      </c>
      <c r="D26" s="1" t="s">
        <v>99</v>
      </c>
      <c r="E26" s="1" t="s">
        <v>54</v>
      </c>
      <c r="F26" s="1">
        <v>1700</v>
      </c>
      <c r="G26" s="1">
        <v>130</v>
      </c>
      <c r="H26" s="1">
        <v>0</v>
      </c>
      <c r="I26" s="1">
        <v>2700</v>
      </c>
      <c r="J26" s="1" t="s">
        <v>71</v>
      </c>
      <c r="K26" s="1" t="s">
        <v>100</v>
      </c>
      <c r="L26" s="4">
        <v>1125</v>
      </c>
      <c r="M26" s="1" t="s">
        <v>101</v>
      </c>
      <c r="N26" s="1" t="s">
        <v>18</v>
      </c>
      <c r="O26" s="1">
        <v>26</v>
      </c>
      <c r="P26" s="1" t="s">
        <v>19</v>
      </c>
    </row>
    <row r="27" spans="1:16">
      <c r="A27" s="4">
        <v>6812407301</v>
      </c>
      <c r="B27" s="1" t="s">
        <v>102</v>
      </c>
      <c r="C27" s="4">
        <v>6980</v>
      </c>
      <c r="D27" s="1" t="s">
        <v>103</v>
      </c>
      <c r="E27" s="1" t="s">
        <v>104</v>
      </c>
      <c r="F27" s="1">
        <v>0</v>
      </c>
      <c r="G27" s="1">
        <v>0</v>
      </c>
      <c r="H27" s="1">
        <v>0</v>
      </c>
      <c r="I27" s="1">
        <v>0</v>
      </c>
      <c r="J27" s="1" t="s">
        <v>105</v>
      </c>
      <c r="K27" s="1" t="s">
        <v>106</v>
      </c>
      <c r="L27" s="4">
        <v>1127</v>
      </c>
      <c r="M27" s="4">
        <v>9271268474</v>
      </c>
      <c r="N27" s="1" t="s">
        <v>29</v>
      </c>
      <c r="O27" s="1">
        <v>10</v>
      </c>
      <c r="P27" s="1" t="s">
        <v>19</v>
      </c>
    </row>
    <row r="28" spans="1:16">
      <c r="A28" s="4">
        <v>6812407302</v>
      </c>
      <c r="B28" s="1" t="s">
        <v>107</v>
      </c>
      <c r="C28" s="4">
        <v>6980</v>
      </c>
      <c r="D28" s="1" t="s">
        <v>108</v>
      </c>
      <c r="E28" s="1" t="s">
        <v>104</v>
      </c>
      <c r="F28" s="1">
        <v>0</v>
      </c>
      <c r="G28" s="1">
        <v>0</v>
      </c>
      <c r="H28" s="1">
        <v>0</v>
      </c>
      <c r="I28" s="1">
        <v>0</v>
      </c>
      <c r="J28" s="1" t="s">
        <v>105</v>
      </c>
      <c r="K28" s="1" t="s">
        <v>106</v>
      </c>
      <c r="L28" s="4">
        <v>1127</v>
      </c>
      <c r="M28" s="4">
        <v>9271268474</v>
      </c>
      <c r="N28" s="1" t="s">
        <v>18</v>
      </c>
      <c r="O28" s="1">
        <v>22</v>
      </c>
      <c r="P28" s="1" t="s">
        <v>19</v>
      </c>
    </row>
    <row r="29" spans="1:16">
      <c r="A29" s="4">
        <v>6812407304</v>
      </c>
      <c r="B29" s="4">
        <v>490</v>
      </c>
      <c r="C29" s="4">
        <v>6980</v>
      </c>
      <c r="D29" s="1" t="s">
        <v>109</v>
      </c>
      <c r="E29" s="1" t="s">
        <v>110</v>
      </c>
      <c r="F29" s="1">
        <v>2550</v>
      </c>
      <c r="G29" s="1">
        <v>200</v>
      </c>
      <c r="H29" s="1">
        <v>0</v>
      </c>
      <c r="I29" s="1">
        <v>2300</v>
      </c>
      <c r="J29" s="1" t="s">
        <v>111</v>
      </c>
      <c r="K29" s="1" t="s">
        <v>112</v>
      </c>
      <c r="L29" s="4">
        <v>1115</v>
      </c>
      <c r="M29" s="4">
        <v>9657724396</v>
      </c>
      <c r="N29" s="1" t="s">
        <v>18</v>
      </c>
      <c r="O29" s="1">
        <v>26</v>
      </c>
      <c r="P29" s="1" t="s">
        <v>19</v>
      </c>
    </row>
    <row r="30" spans="1:16">
      <c r="A30" s="4">
        <v>6812407317</v>
      </c>
      <c r="B30" s="4">
        <v>492</v>
      </c>
      <c r="C30" s="4">
        <v>6980</v>
      </c>
      <c r="D30" s="1" t="s">
        <v>113</v>
      </c>
      <c r="E30" s="1" t="s">
        <v>110</v>
      </c>
      <c r="F30" s="1">
        <v>2550</v>
      </c>
      <c r="G30" s="1">
        <v>200</v>
      </c>
      <c r="H30" s="1">
        <v>0</v>
      </c>
      <c r="I30" s="1">
        <v>2300</v>
      </c>
      <c r="J30" s="1" t="s">
        <v>111</v>
      </c>
      <c r="K30" s="1" t="s">
        <v>114</v>
      </c>
      <c r="L30" s="4">
        <v>1115</v>
      </c>
      <c r="M30" s="4">
        <v>9657724396</v>
      </c>
      <c r="N30" s="1" t="s">
        <v>18</v>
      </c>
      <c r="O30" s="1">
        <v>26</v>
      </c>
      <c r="P30" s="1" t="s">
        <v>19</v>
      </c>
    </row>
    <row r="31" spans="1:16">
      <c r="A31" s="4">
        <v>6812407333</v>
      </c>
      <c r="B31" s="4">
        <v>493</v>
      </c>
      <c r="C31" s="4">
        <v>6980</v>
      </c>
      <c r="D31" s="1" t="s">
        <v>115</v>
      </c>
      <c r="E31" s="1" t="s">
        <v>110</v>
      </c>
      <c r="F31" s="1">
        <v>850</v>
      </c>
      <c r="G31" s="1">
        <v>220</v>
      </c>
      <c r="H31" s="1">
        <v>0</v>
      </c>
      <c r="I31" s="1">
        <v>2300</v>
      </c>
      <c r="J31" s="1" t="s">
        <v>111</v>
      </c>
      <c r="K31" s="1" t="s">
        <v>116</v>
      </c>
      <c r="L31" s="4">
        <v>1115</v>
      </c>
      <c r="M31" s="4">
        <v>9657724396</v>
      </c>
      <c r="N31" s="1" t="s">
        <v>18</v>
      </c>
      <c r="O31" s="1">
        <v>26</v>
      </c>
      <c r="P31" s="1" t="s">
        <v>19</v>
      </c>
    </row>
    <row r="32" spans="1:16">
      <c r="A32" s="4">
        <v>6812407372</v>
      </c>
      <c r="B32" s="4">
        <v>497</v>
      </c>
      <c r="C32" s="4">
        <v>6980</v>
      </c>
      <c r="D32" s="1" t="s">
        <v>117</v>
      </c>
      <c r="E32" s="1" t="s">
        <v>118</v>
      </c>
      <c r="F32" s="1">
        <v>850</v>
      </c>
      <c r="G32" s="1">
        <v>130</v>
      </c>
      <c r="H32" s="1">
        <v>0</v>
      </c>
      <c r="I32" s="1">
        <v>2500</v>
      </c>
      <c r="J32" s="1" t="s">
        <v>44</v>
      </c>
      <c r="K32" s="1" t="s">
        <v>119</v>
      </c>
      <c r="L32" s="4">
        <v>1125</v>
      </c>
      <c r="N32" s="1" t="s">
        <v>18</v>
      </c>
      <c r="O32" s="1">
        <v>26</v>
      </c>
      <c r="P32" s="1" t="s">
        <v>19</v>
      </c>
    </row>
    <row r="33" spans="1:16">
      <c r="A33" s="4">
        <v>6812407382</v>
      </c>
      <c r="B33" s="4">
        <v>498</v>
      </c>
      <c r="C33" s="4">
        <v>6980</v>
      </c>
      <c r="D33" s="1" t="s">
        <v>120</v>
      </c>
      <c r="E33" s="1" t="s">
        <v>121</v>
      </c>
      <c r="F33" s="1">
        <v>850</v>
      </c>
      <c r="G33" s="1">
        <v>170</v>
      </c>
      <c r="H33" s="1">
        <v>0</v>
      </c>
      <c r="I33" s="1">
        <v>3000</v>
      </c>
      <c r="J33" s="1" t="s">
        <v>122</v>
      </c>
      <c r="K33" s="1" t="s">
        <v>123</v>
      </c>
      <c r="L33" s="4">
        <v>1125</v>
      </c>
      <c r="M33" s="4">
        <v>9028437899</v>
      </c>
      <c r="N33" s="1" t="s">
        <v>18</v>
      </c>
      <c r="O33" s="1">
        <v>26</v>
      </c>
      <c r="P33" s="1" t="s">
        <v>19</v>
      </c>
    </row>
    <row r="34" spans="1:16">
      <c r="A34" s="4">
        <v>6812407384</v>
      </c>
      <c r="B34" s="4">
        <v>498</v>
      </c>
      <c r="C34" s="4">
        <v>6980</v>
      </c>
      <c r="D34" s="1" t="s">
        <v>124</v>
      </c>
      <c r="E34" s="1" t="s">
        <v>31</v>
      </c>
      <c r="F34" s="1">
        <v>1700</v>
      </c>
      <c r="G34" s="1">
        <v>105</v>
      </c>
      <c r="H34" s="1">
        <v>0</v>
      </c>
      <c r="I34" s="1">
        <v>2500</v>
      </c>
      <c r="J34" s="1" t="s">
        <v>32</v>
      </c>
      <c r="K34" s="1" t="s">
        <v>125</v>
      </c>
      <c r="L34" s="4">
        <v>1125</v>
      </c>
      <c r="M34" s="1" t="s">
        <v>34</v>
      </c>
      <c r="N34" s="1" t="s">
        <v>18</v>
      </c>
      <c r="O34" s="1">
        <v>26</v>
      </c>
      <c r="P34" s="1" t="s">
        <v>19</v>
      </c>
    </row>
    <row r="35" spans="1:16">
      <c r="A35" s="4">
        <v>6812407396</v>
      </c>
      <c r="B35" s="1" t="s">
        <v>126</v>
      </c>
      <c r="C35" s="4">
        <v>6980</v>
      </c>
      <c r="D35" s="1" t="s">
        <v>127</v>
      </c>
      <c r="E35" s="1" t="s">
        <v>54</v>
      </c>
      <c r="F35" s="1">
        <v>0</v>
      </c>
      <c r="G35" s="1">
        <v>0</v>
      </c>
      <c r="H35" s="1">
        <v>0</v>
      </c>
      <c r="I35" s="1">
        <v>0</v>
      </c>
      <c r="J35" s="1" t="s">
        <v>128</v>
      </c>
      <c r="K35" s="1" t="s">
        <v>129</v>
      </c>
      <c r="L35" s="4">
        <v>1125</v>
      </c>
      <c r="M35" s="1" t="s">
        <v>130</v>
      </c>
      <c r="N35" s="1" t="s">
        <v>18</v>
      </c>
      <c r="O35" s="1">
        <v>15</v>
      </c>
      <c r="P35" s="1" t="s">
        <v>19</v>
      </c>
    </row>
    <row r="36" spans="1:16">
      <c r="A36" s="4">
        <v>6812407397</v>
      </c>
      <c r="B36" s="1" t="s">
        <v>131</v>
      </c>
      <c r="C36" s="4">
        <v>6980</v>
      </c>
      <c r="D36" s="1" t="s">
        <v>132</v>
      </c>
      <c r="E36" s="1" t="s">
        <v>54</v>
      </c>
      <c r="F36" s="1">
        <v>0</v>
      </c>
      <c r="G36" s="1">
        <v>0</v>
      </c>
      <c r="H36" s="1">
        <v>0</v>
      </c>
      <c r="I36" s="1">
        <v>0</v>
      </c>
      <c r="J36" s="1" t="s">
        <v>128</v>
      </c>
      <c r="K36" s="1" t="s">
        <v>129</v>
      </c>
      <c r="L36" s="4">
        <v>1125</v>
      </c>
      <c r="M36" s="1" t="s">
        <v>130</v>
      </c>
      <c r="N36" s="1" t="s">
        <v>29</v>
      </c>
      <c r="O36" s="1">
        <v>11</v>
      </c>
      <c r="P36" s="1" t="s">
        <v>19</v>
      </c>
    </row>
    <row r="37" spans="1:16">
      <c r="A37" s="4">
        <v>6812407422</v>
      </c>
      <c r="B37" s="4">
        <v>501</v>
      </c>
      <c r="C37" s="4">
        <v>6980</v>
      </c>
      <c r="D37" s="1" t="s">
        <v>133</v>
      </c>
      <c r="E37" s="1" t="s">
        <v>110</v>
      </c>
      <c r="F37" s="1">
        <v>1700</v>
      </c>
      <c r="G37" s="1">
        <v>210</v>
      </c>
      <c r="H37" s="1">
        <v>0</v>
      </c>
      <c r="I37" s="1">
        <v>2300</v>
      </c>
      <c r="J37" s="1" t="s">
        <v>111</v>
      </c>
      <c r="K37" s="1" t="s">
        <v>134</v>
      </c>
      <c r="L37" s="4">
        <v>1115</v>
      </c>
      <c r="M37" s="4">
        <v>9657724396</v>
      </c>
      <c r="N37" s="1" t="s">
        <v>18</v>
      </c>
      <c r="O37" s="1">
        <v>26</v>
      </c>
      <c r="P37" s="1" t="s">
        <v>19</v>
      </c>
    </row>
    <row r="38" spans="1:16">
      <c r="A38" s="4">
        <v>6812407428</v>
      </c>
      <c r="B38" s="4">
        <v>502</v>
      </c>
      <c r="C38" s="4">
        <v>6980</v>
      </c>
      <c r="D38" s="1" t="s">
        <v>135</v>
      </c>
      <c r="E38" s="1" t="s">
        <v>54</v>
      </c>
      <c r="F38" s="1">
        <v>0</v>
      </c>
      <c r="G38" s="1">
        <v>0</v>
      </c>
      <c r="H38" s="1">
        <v>0</v>
      </c>
      <c r="I38" s="1">
        <v>0</v>
      </c>
      <c r="J38" s="1" t="s">
        <v>136</v>
      </c>
      <c r="K38" s="1" t="s">
        <v>137</v>
      </c>
      <c r="L38" s="4">
        <v>1125</v>
      </c>
      <c r="M38" s="1" t="s">
        <v>138</v>
      </c>
      <c r="N38" s="1" t="s">
        <v>18</v>
      </c>
      <c r="O38" s="1">
        <v>26</v>
      </c>
      <c r="P38" s="1" t="s">
        <v>19</v>
      </c>
    </row>
    <row r="39" spans="1:16">
      <c r="A39" s="4">
        <v>6812407429</v>
      </c>
      <c r="B39" s="4">
        <v>504</v>
      </c>
      <c r="C39" s="4">
        <v>6980</v>
      </c>
      <c r="D39" s="1" t="s">
        <v>139</v>
      </c>
      <c r="E39" s="1" t="s">
        <v>70</v>
      </c>
      <c r="F39" s="1">
        <v>1700</v>
      </c>
      <c r="G39" s="1">
        <v>120</v>
      </c>
      <c r="H39" s="1">
        <v>0</v>
      </c>
      <c r="I39" s="1">
        <v>2500</v>
      </c>
      <c r="J39" s="1" t="s">
        <v>44</v>
      </c>
      <c r="K39" s="1" t="s">
        <v>140</v>
      </c>
      <c r="L39" s="4">
        <v>1125</v>
      </c>
      <c r="M39" s="1" t="s">
        <v>98</v>
      </c>
      <c r="N39" s="1" t="s">
        <v>29</v>
      </c>
      <c r="O39" s="1">
        <v>26</v>
      </c>
      <c r="P39" s="1" t="s">
        <v>19</v>
      </c>
    </row>
    <row r="40" spans="1:16">
      <c r="A40" s="4">
        <v>6812407441</v>
      </c>
      <c r="B40" s="4">
        <v>507</v>
      </c>
      <c r="C40" s="4">
        <v>6980</v>
      </c>
      <c r="D40" s="1" t="s">
        <v>141</v>
      </c>
      <c r="E40" s="1" t="s">
        <v>70</v>
      </c>
      <c r="F40" s="1">
        <v>0</v>
      </c>
      <c r="G40" s="1">
        <v>0</v>
      </c>
      <c r="H40" s="1">
        <v>0</v>
      </c>
      <c r="I40" s="1">
        <v>0</v>
      </c>
      <c r="J40" s="1" t="s">
        <v>136</v>
      </c>
      <c r="K40" s="1" t="s">
        <v>142</v>
      </c>
      <c r="L40" s="4">
        <v>1125</v>
      </c>
      <c r="M40" s="4">
        <v>9370374531</v>
      </c>
      <c r="N40" s="1" t="s">
        <v>18</v>
      </c>
      <c r="O40" s="1">
        <v>26</v>
      </c>
      <c r="P40" s="1" t="s">
        <v>19</v>
      </c>
    </row>
    <row r="41" spans="1:16">
      <c r="A41" s="4">
        <v>6812407443</v>
      </c>
      <c r="B41" s="4">
        <v>508</v>
      </c>
      <c r="C41" s="4">
        <v>6980</v>
      </c>
      <c r="D41" s="1" t="s">
        <v>143</v>
      </c>
      <c r="E41" s="1" t="s">
        <v>144</v>
      </c>
      <c r="F41" s="1">
        <v>2550</v>
      </c>
      <c r="G41" s="1">
        <f>295-30</f>
        <v>265</v>
      </c>
      <c r="H41" s="1">
        <v>0</v>
      </c>
      <c r="I41" s="1">
        <v>3600</v>
      </c>
      <c r="J41" s="1" t="s">
        <v>145</v>
      </c>
      <c r="K41" s="1" t="s">
        <v>146</v>
      </c>
      <c r="L41" s="4">
        <v>5166</v>
      </c>
      <c r="M41" s="4">
        <v>8699559096</v>
      </c>
      <c r="N41" s="1" t="s">
        <v>147</v>
      </c>
      <c r="O41" s="1">
        <v>30.36</v>
      </c>
      <c r="P41" s="1" t="s">
        <v>19</v>
      </c>
    </row>
    <row r="42" spans="1:16">
      <c r="A42" s="4">
        <v>6812407444</v>
      </c>
      <c r="B42" s="4">
        <v>509</v>
      </c>
      <c r="C42" s="4">
        <v>6980</v>
      </c>
      <c r="D42" s="1" t="s">
        <v>148</v>
      </c>
      <c r="E42" s="1" t="s">
        <v>144</v>
      </c>
      <c r="F42" s="1">
        <v>2550</v>
      </c>
      <c r="G42" s="1">
        <v>265</v>
      </c>
      <c r="H42" s="1">
        <v>0</v>
      </c>
      <c r="I42" s="1">
        <v>3600</v>
      </c>
      <c r="J42" s="1" t="s">
        <v>145</v>
      </c>
      <c r="K42" s="1" t="s">
        <v>149</v>
      </c>
      <c r="L42" s="4">
        <v>5166</v>
      </c>
      <c r="M42" s="4">
        <v>8699559096</v>
      </c>
      <c r="N42" s="1" t="s">
        <v>147</v>
      </c>
      <c r="O42" s="1">
        <v>30.54</v>
      </c>
      <c r="P42" s="1" t="s">
        <v>19</v>
      </c>
    </row>
    <row r="43" spans="1:16">
      <c r="A43" s="4">
        <v>6812407445</v>
      </c>
      <c r="B43" s="4">
        <v>510</v>
      </c>
      <c r="C43" s="4">
        <v>6980</v>
      </c>
      <c r="D43" s="1" t="s">
        <v>150</v>
      </c>
      <c r="E43" s="1" t="s">
        <v>151</v>
      </c>
      <c r="F43" s="1">
        <v>1700</v>
      </c>
      <c r="G43" s="1">
        <v>75</v>
      </c>
      <c r="H43" s="1">
        <v>0</v>
      </c>
      <c r="I43" s="1">
        <v>1540</v>
      </c>
      <c r="J43" s="1" t="s">
        <v>152</v>
      </c>
      <c r="K43" s="1" t="s">
        <v>153</v>
      </c>
      <c r="L43" s="4">
        <v>1123</v>
      </c>
      <c r="M43" s="4">
        <v>9850024381</v>
      </c>
      <c r="N43" s="1" t="s">
        <v>29</v>
      </c>
      <c r="O43" s="1">
        <v>21</v>
      </c>
      <c r="P43" s="1" t="s">
        <v>19</v>
      </c>
    </row>
    <row r="44" spans="1:16">
      <c r="A44" s="4">
        <v>6812407450</v>
      </c>
      <c r="B44" s="4">
        <v>511</v>
      </c>
      <c r="C44" s="4">
        <v>6980</v>
      </c>
      <c r="D44" s="1" t="s">
        <v>154</v>
      </c>
      <c r="E44" s="1" t="s">
        <v>121</v>
      </c>
      <c r="F44" s="1">
        <v>850</v>
      </c>
      <c r="G44" s="1">
        <v>170</v>
      </c>
      <c r="H44" s="1">
        <v>0</v>
      </c>
      <c r="I44" s="1">
        <v>3000</v>
      </c>
      <c r="J44" s="1" t="s">
        <v>79</v>
      </c>
      <c r="K44" s="1" t="s">
        <v>155</v>
      </c>
      <c r="L44" s="4">
        <v>1125</v>
      </c>
      <c r="M44" s="4">
        <v>9422939850</v>
      </c>
      <c r="N44" s="1" t="s">
        <v>18</v>
      </c>
      <c r="O44" s="1">
        <v>26</v>
      </c>
      <c r="P44" s="1" t="s">
        <v>19</v>
      </c>
    </row>
    <row r="45" spans="1:16">
      <c r="A45" s="4">
        <v>6812407457</v>
      </c>
      <c r="B45" s="4">
        <v>511</v>
      </c>
      <c r="C45" s="4">
        <v>6980</v>
      </c>
      <c r="D45" s="1" t="s">
        <v>156</v>
      </c>
      <c r="E45" s="1" t="s">
        <v>49</v>
      </c>
      <c r="F45" s="1">
        <v>0</v>
      </c>
      <c r="G45" s="1">
        <v>130</v>
      </c>
      <c r="H45" s="1">
        <v>0</v>
      </c>
      <c r="I45" s="1">
        <v>2500</v>
      </c>
      <c r="J45" s="1" t="s">
        <v>50</v>
      </c>
      <c r="K45" s="1" t="s">
        <v>157</v>
      </c>
      <c r="L45" s="4">
        <v>1125</v>
      </c>
      <c r="M45" s="1" t="s">
        <v>158</v>
      </c>
      <c r="N45" s="1" t="s">
        <v>18</v>
      </c>
      <c r="O45" s="1">
        <v>26</v>
      </c>
      <c r="P45" s="1" t="s">
        <v>19</v>
      </c>
    </row>
    <row r="46" spans="1:16">
      <c r="A46" s="4">
        <v>6812407463</v>
      </c>
      <c r="B46" s="1" t="s">
        <v>159</v>
      </c>
      <c r="C46" s="4">
        <v>6980</v>
      </c>
      <c r="D46" s="1" t="s">
        <v>160</v>
      </c>
      <c r="E46" s="1" t="s">
        <v>78</v>
      </c>
      <c r="F46" s="1">
        <v>0</v>
      </c>
      <c r="G46" s="1">
        <v>180</v>
      </c>
      <c r="H46" s="1">
        <v>0</v>
      </c>
      <c r="I46" s="1">
        <v>3000</v>
      </c>
      <c r="J46" s="1" t="s">
        <v>79</v>
      </c>
      <c r="K46" s="1" t="s">
        <v>161</v>
      </c>
      <c r="L46" s="4">
        <v>1125</v>
      </c>
      <c r="M46" s="4">
        <v>9420185680</v>
      </c>
      <c r="N46" s="1" t="s">
        <v>18</v>
      </c>
      <c r="O46" s="1">
        <v>10</v>
      </c>
      <c r="P46" s="1" t="s">
        <v>19</v>
      </c>
    </row>
    <row r="47" spans="1:16">
      <c r="A47" s="4">
        <v>6812407464</v>
      </c>
      <c r="B47" s="1" t="s">
        <v>162</v>
      </c>
      <c r="C47" s="4">
        <v>6980</v>
      </c>
      <c r="D47" s="1" t="s">
        <v>163</v>
      </c>
      <c r="E47" s="1" t="s">
        <v>121</v>
      </c>
      <c r="F47" s="1">
        <v>0</v>
      </c>
      <c r="G47" s="1">
        <v>0</v>
      </c>
      <c r="H47" s="1">
        <v>0</v>
      </c>
      <c r="I47" s="1">
        <v>0</v>
      </c>
      <c r="J47" s="1" t="s">
        <v>79</v>
      </c>
      <c r="K47" s="1" t="s">
        <v>161</v>
      </c>
      <c r="L47" s="4">
        <v>1125</v>
      </c>
      <c r="M47" s="4">
        <v>8888259525</v>
      </c>
      <c r="N47" s="1" t="s">
        <v>18</v>
      </c>
      <c r="O47" s="1">
        <v>16</v>
      </c>
      <c r="P47" s="1" t="s">
        <v>19</v>
      </c>
    </row>
    <row r="48" spans="1:16" s="5" customFormat="1" ht="15.75">
      <c r="F48" s="6">
        <f>SUM(F3:F47)</f>
        <v>49300</v>
      </c>
      <c r="G48" s="7">
        <f>SUM(G3:G47)</f>
        <v>5980</v>
      </c>
      <c r="H48" s="8">
        <f>SUM(H3:H47)</f>
        <v>0</v>
      </c>
      <c r="I48" s="6">
        <f>SUM(I3:I47)</f>
        <v>91370</v>
      </c>
      <c r="O48" s="6">
        <f>SUM(O3:O47)</f>
        <v>1067.92</v>
      </c>
    </row>
    <row r="49" spans="3:10">
      <c r="I49" s="9">
        <v>3020</v>
      </c>
      <c r="J49" s="10" t="s">
        <v>168</v>
      </c>
    </row>
    <row r="50" spans="3:10" ht="15.75">
      <c r="H50" s="11" t="s">
        <v>171</v>
      </c>
      <c r="I50" s="11">
        <f>91370-3020</f>
        <v>88350</v>
      </c>
      <c r="J50" s="12"/>
    </row>
    <row r="51" spans="3:10">
      <c r="I51" s="9">
        <v>49300</v>
      </c>
      <c r="J51" s="13" t="s">
        <v>169</v>
      </c>
    </row>
    <row r="52" spans="3:10" ht="15.75">
      <c r="H52" s="11" t="s">
        <v>171</v>
      </c>
      <c r="I52" s="11">
        <f>SUM(I50:I51)</f>
        <v>137650</v>
      </c>
      <c r="J52" s="12"/>
    </row>
    <row r="53" spans="3:10">
      <c r="I53" s="9">
        <v>800</v>
      </c>
      <c r="J53" s="14" t="s">
        <v>170</v>
      </c>
    </row>
    <row r="54" spans="3:10" ht="17.25">
      <c r="H54" s="11" t="s">
        <v>171</v>
      </c>
      <c r="I54" s="15">
        <f>SUM(I52:I53)</f>
        <v>138450</v>
      </c>
    </row>
    <row r="57" spans="3:10">
      <c r="C57" s="16">
        <v>1</v>
      </c>
      <c r="D57" s="16" t="s">
        <v>172</v>
      </c>
      <c r="E57" s="16" t="s">
        <v>173</v>
      </c>
      <c r="F57" s="16" t="s">
        <v>174</v>
      </c>
      <c r="G57" s="16">
        <f>34*80</f>
        <v>2720</v>
      </c>
      <c r="H57" s="16" t="s">
        <v>177</v>
      </c>
    </row>
    <row r="58" spans="3:10">
      <c r="C58" s="16">
        <v>2</v>
      </c>
      <c r="D58" s="16" t="s">
        <v>172</v>
      </c>
      <c r="E58" s="16" t="s">
        <v>175</v>
      </c>
      <c r="F58" s="16" t="s">
        <v>174</v>
      </c>
      <c r="G58" s="16">
        <f>50*6</f>
        <v>300</v>
      </c>
      <c r="H58" s="16" t="s">
        <v>176</v>
      </c>
    </row>
    <row r="59" spans="3:10" ht="15.75">
      <c r="G59" s="6">
        <f>SUM(G57:G58)</f>
        <v>3020</v>
      </c>
    </row>
    <row r="62" spans="3:10">
      <c r="C62" s="16">
        <v>1</v>
      </c>
      <c r="D62" s="16" t="s">
        <v>178</v>
      </c>
      <c r="E62" s="16" t="s">
        <v>179</v>
      </c>
      <c r="F62" s="16" t="s">
        <v>180</v>
      </c>
      <c r="G62" s="16">
        <v>500</v>
      </c>
    </row>
    <row r="63" spans="3:10">
      <c r="C63" s="16">
        <v>2</v>
      </c>
      <c r="D63" s="16" t="s">
        <v>181</v>
      </c>
      <c r="E63" s="16" t="s">
        <v>182</v>
      </c>
      <c r="F63" s="16" t="s">
        <v>183</v>
      </c>
      <c r="G63" s="16">
        <v>300</v>
      </c>
    </row>
    <row r="64" spans="3:10" ht="15.75">
      <c r="G64" s="6">
        <f>SUM(G62:G63)</f>
        <v>800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musa khan</cp:lastModifiedBy>
  <dcterms:created xsi:type="dcterms:W3CDTF">2024-03-21T23:59:12Z</dcterms:created>
  <dcterms:modified xsi:type="dcterms:W3CDTF">2024-04-02T10:10:44Z</dcterms:modified>
</cp:coreProperties>
</file>